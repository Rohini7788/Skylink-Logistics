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ElixirAI\PredictiveAnalytics\Map_Pune\Test\Budget Range\"/>
    </mc:Choice>
  </mc:AlternateContent>
  <xr:revisionPtr revIDLastSave="0" documentId="8_{0FF68CBD-A714-416B-8FFF-7506ECEB43BA}" xr6:coauthVersionLast="47" xr6:coauthVersionMax="47" xr10:uidLastSave="{00000000-0000-0000-0000-000000000000}"/>
  <bookViews>
    <workbookView xWindow="-120" yWindow="-120" windowWidth="29040" windowHeight="15720" activeTab="11" xr2:uid="{1C68665F-2ED2-4FBB-B68F-B4DE5ED6432E}"/>
  </bookViews>
  <sheets>
    <sheet name="WM" sheetId="1" r:id="rId1"/>
    <sheet name="Sheet2" sheetId="13" r:id="rId2"/>
    <sheet name="WM-TLM" sheetId="11" r:id="rId3"/>
    <sheet name="CD" sheetId="2" r:id="rId4"/>
    <sheet name="MW" sheetId="3" r:id="rId5"/>
    <sheet name="DW" sheetId="4" r:id="rId6"/>
    <sheet name="ST" sheetId="5" r:id="rId7"/>
    <sheet name="AC" sheetId="6" r:id="rId8"/>
    <sheet name="WD" sheetId="7" r:id="rId9"/>
    <sheet name="RF-Single_Door" sheetId="9" r:id="rId10"/>
    <sheet name="RF" sheetId="10" r:id="rId11"/>
    <sheet name="Single_List" sheetId="12" r:id="rId12"/>
  </sheets>
  <externalReferences>
    <externalReference r:id="rId13"/>
    <externalReference r:id="rId14"/>
  </externalReferences>
  <definedNames>
    <definedName name="_xlnm._FilterDatabase" localSheetId="3" hidden="1">CD!$A$1:$AB$6</definedName>
    <definedName name="_xlnm._FilterDatabase" localSheetId="4" hidden="1">MW!$A$1:$AI$23</definedName>
    <definedName name="_xlnm._FilterDatabase" localSheetId="9" hidden="1">'RF-Single_Door'!$A$1:$AC$49</definedName>
    <definedName name="_xlnm._FilterDatabase" localSheetId="0" hidden="1">WM!$A$1:$AO$65</definedName>
    <definedName name="_xlnm._FilterDatabase" localSheetId="2" hidden="1">'WM-TLM'!$A$1:$AP$45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2" l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" i="12"/>
  <c r="K269" i="12"/>
  <c r="J269" i="12"/>
  <c r="K268" i="12"/>
  <c r="J268" i="12"/>
  <c r="K267" i="12"/>
  <c r="J267" i="12"/>
  <c r="K266" i="12"/>
  <c r="J266" i="12"/>
  <c r="K265" i="12"/>
  <c r="J265" i="12"/>
  <c r="K264" i="12"/>
  <c r="J264" i="12"/>
  <c r="K263" i="12"/>
  <c r="J263" i="12"/>
  <c r="K262" i="12"/>
  <c r="J262" i="12"/>
  <c r="K261" i="12"/>
  <c r="J261" i="12"/>
  <c r="K260" i="12"/>
  <c r="J260" i="12"/>
  <c r="K259" i="12"/>
  <c r="J259" i="12"/>
  <c r="K258" i="12"/>
  <c r="J258" i="12"/>
  <c r="K257" i="12"/>
  <c r="J257" i="12"/>
  <c r="K256" i="12"/>
  <c r="J256" i="12"/>
  <c r="K255" i="12"/>
  <c r="J255" i="12"/>
  <c r="K254" i="12"/>
  <c r="J254" i="12"/>
  <c r="K253" i="12"/>
  <c r="J253" i="12"/>
  <c r="K252" i="12"/>
  <c r="J252" i="12"/>
  <c r="K251" i="12"/>
  <c r="J251" i="12"/>
  <c r="K250" i="12"/>
  <c r="J250" i="12"/>
  <c r="K249" i="12"/>
  <c r="J249" i="12"/>
  <c r="K248" i="12"/>
  <c r="J248" i="12"/>
  <c r="K247" i="12"/>
  <c r="J247" i="12"/>
  <c r="K246" i="12"/>
  <c r="J246" i="12"/>
  <c r="K245" i="12"/>
  <c r="J245" i="12"/>
  <c r="K244" i="12"/>
  <c r="J244" i="12"/>
  <c r="K243" i="12"/>
  <c r="J243" i="12"/>
  <c r="K242" i="12"/>
  <c r="J242" i="12"/>
  <c r="K241" i="12"/>
  <c r="J241" i="12"/>
  <c r="K240" i="12"/>
  <c r="J240" i="12"/>
  <c r="K239" i="12"/>
  <c r="J239" i="12"/>
  <c r="K238" i="12"/>
  <c r="J238" i="12"/>
  <c r="K237" i="12"/>
  <c r="J237" i="12"/>
  <c r="K236" i="12"/>
  <c r="J236" i="12"/>
  <c r="K235" i="12"/>
  <c r="J235" i="12"/>
  <c r="K234" i="12"/>
  <c r="J234" i="12"/>
  <c r="K233" i="12"/>
  <c r="J233" i="12"/>
  <c r="K232" i="12"/>
  <c r="J232" i="12"/>
  <c r="K231" i="12"/>
  <c r="J231" i="12"/>
  <c r="K230" i="12"/>
  <c r="J230" i="12"/>
  <c r="K229" i="12"/>
  <c r="J229" i="12"/>
  <c r="K228" i="12"/>
  <c r="J228" i="12"/>
  <c r="K227" i="12"/>
  <c r="J227" i="12"/>
  <c r="K226" i="12"/>
  <c r="J226" i="12"/>
  <c r="K225" i="12"/>
  <c r="J225" i="12"/>
  <c r="K224" i="12"/>
  <c r="J224" i="12"/>
  <c r="K223" i="12"/>
  <c r="J223" i="12"/>
  <c r="K222" i="12"/>
  <c r="J222" i="12"/>
  <c r="K221" i="12"/>
  <c r="J221" i="12"/>
  <c r="K220" i="12"/>
  <c r="J220" i="12"/>
  <c r="K219" i="12"/>
  <c r="J219" i="12"/>
  <c r="K218" i="12"/>
  <c r="J218" i="12"/>
  <c r="K217" i="12"/>
  <c r="J217" i="12"/>
  <c r="K216" i="12"/>
  <c r="J216" i="12"/>
  <c r="K215" i="12"/>
  <c r="J215" i="12"/>
  <c r="K214" i="12"/>
  <c r="J214" i="12"/>
  <c r="K213" i="12"/>
  <c r="J213" i="12"/>
  <c r="K212" i="12"/>
  <c r="J212" i="12"/>
  <c r="K211" i="12"/>
  <c r="J211" i="12"/>
  <c r="K210" i="12"/>
  <c r="J210" i="12"/>
  <c r="K209" i="12"/>
  <c r="J209" i="12"/>
  <c r="K208" i="12"/>
  <c r="J208" i="12"/>
  <c r="K207" i="12"/>
  <c r="J207" i="12"/>
  <c r="K206" i="12"/>
  <c r="J206" i="12"/>
  <c r="K205" i="12"/>
  <c r="J205" i="12"/>
  <c r="K204" i="12"/>
  <c r="J204" i="12"/>
  <c r="K203" i="12"/>
  <c r="J203" i="12"/>
  <c r="K202" i="12"/>
  <c r="J202" i="12"/>
  <c r="K201" i="12"/>
  <c r="J201" i="12"/>
  <c r="K200" i="12"/>
  <c r="J200" i="12"/>
  <c r="K199" i="12"/>
  <c r="J199" i="12"/>
  <c r="K198" i="12"/>
  <c r="J198" i="12"/>
  <c r="D198" i="12"/>
  <c r="K197" i="12"/>
  <c r="J197" i="12"/>
  <c r="D197" i="12"/>
  <c r="K196" i="12"/>
  <c r="J196" i="12"/>
  <c r="D196" i="12"/>
  <c r="K195" i="12"/>
  <c r="J195" i="12"/>
  <c r="D195" i="12"/>
  <c r="K194" i="12"/>
  <c r="J194" i="12"/>
  <c r="I194" i="12"/>
  <c r="D194" i="12"/>
  <c r="K193" i="12"/>
  <c r="J193" i="12"/>
  <c r="I193" i="12"/>
  <c r="D193" i="12"/>
  <c r="K192" i="12"/>
  <c r="J192" i="12"/>
  <c r="I192" i="12"/>
  <c r="D192" i="12"/>
  <c r="K191" i="12"/>
  <c r="J191" i="12"/>
  <c r="I191" i="12"/>
  <c r="D191" i="12"/>
  <c r="K190" i="12"/>
  <c r="J190" i="12"/>
  <c r="I190" i="12"/>
  <c r="D190" i="12"/>
  <c r="K189" i="12"/>
  <c r="J189" i="12"/>
  <c r="I189" i="12"/>
  <c r="D189" i="12"/>
  <c r="K188" i="12"/>
  <c r="J188" i="12"/>
  <c r="I188" i="12"/>
  <c r="D188" i="12"/>
  <c r="K187" i="12"/>
  <c r="J187" i="12"/>
  <c r="I187" i="12"/>
  <c r="D187" i="12"/>
  <c r="K186" i="12"/>
  <c r="J186" i="12"/>
  <c r="I186" i="12"/>
  <c r="D186" i="12"/>
  <c r="K185" i="12"/>
  <c r="J185" i="12"/>
  <c r="I185" i="12"/>
  <c r="D185" i="12"/>
  <c r="K184" i="12"/>
  <c r="J184" i="12"/>
  <c r="I184" i="12"/>
  <c r="D184" i="12"/>
  <c r="K183" i="12"/>
  <c r="J183" i="12"/>
  <c r="I183" i="12"/>
  <c r="D183" i="12"/>
  <c r="K182" i="12"/>
  <c r="J182" i="12"/>
  <c r="I182" i="12"/>
  <c r="D182" i="12"/>
  <c r="K181" i="12"/>
  <c r="J181" i="12"/>
  <c r="I181" i="12"/>
  <c r="D181" i="12"/>
  <c r="K180" i="12"/>
  <c r="J180" i="12"/>
  <c r="I180" i="12"/>
  <c r="D180" i="12"/>
  <c r="K179" i="12"/>
  <c r="J179" i="12"/>
  <c r="I179" i="12"/>
  <c r="D179" i="12"/>
  <c r="K178" i="12"/>
  <c r="J178" i="12"/>
  <c r="I178" i="12"/>
  <c r="D178" i="12"/>
  <c r="K177" i="12"/>
  <c r="J177" i="12"/>
  <c r="I177" i="12"/>
  <c r="D177" i="12"/>
  <c r="K176" i="12"/>
  <c r="J176" i="12"/>
  <c r="I176" i="12"/>
  <c r="D176" i="12"/>
  <c r="K175" i="12"/>
  <c r="J175" i="12"/>
  <c r="I175" i="12"/>
  <c r="D175" i="12"/>
  <c r="K174" i="12"/>
  <c r="J174" i="12"/>
  <c r="I174" i="12"/>
  <c r="D174" i="12"/>
  <c r="K173" i="12"/>
  <c r="J173" i="12"/>
  <c r="I173" i="12"/>
  <c r="D173" i="12"/>
  <c r="K172" i="12"/>
  <c r="J172" i="12"/>
  <c r="I172" i="12"/>
  <c r="D172" i="12"/>
  <c r="K171" i="12"/>
  <c r="J171" i="12"/>
  <c r="I171" i="12"/>
  <c r="D171" i="12"/>
  <c r="K170" i="12"/>
  <c r="J170" i="12"/>
  <c r="I170" i="12"/>
  <c r="D170" i="12"/>
  <c r="K169" i="12"/>
  <c r="J169" i="12"/>
  <c r="I169" i="12"/>
  <c r="D169" i="12"/>
  <c r="K168" i="12"/>
  <c r="J168" i="12"/>
  <c r="I168" i="12"/>
  <c r="D168" i="12"/>
  <c r="K167" i="12"/>
  <c r="J167" i="12"/>
  <c r="I167" i="12"/>
  <c r="D167" i="12"/>
  <c r="K166" i="12"/>
  <c r="J166" i="12"/>
  <c r="I166" i="12"/>
  <c r="D166" i="12"/>
  <c r="K165" i="12"/>
  <c r="J165" i="12"/>
  <c r="I165" i="12"/>
  <c r="D165" i="12"/>
  <c r="K164" i="12"/>
  <c r="J164" i="12"/>
  <c r="I164" i="12"/>
  <c r="D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D140" i="12"/>
  <c r="K139" i="12"/>
  <c r="J139" i="12"/>
  <c r="D139" i="12"/>
  <c r="K138" i="12"/>
  <c r="J138" i="12"/>
  <c r="D138" i="12"/>
  <c r="K137" i="12"/>
  <c r="J137" i="12"/>
  <c r="D137" i="12"/>
  <c r="K136" i="12"/>
  <c r="J136" i="12"/>
  <c r="D136" i="12"/>
  <c r="K135" i="12"/>
  <c r="J135" i="12"/>
  <c r="C135" i="12"/>
  <c r="D135" i="12" s="1"/>
  <c r="K134" i="12"/>
  <c r="J134" i="12"/>
  <c r="D134" i="12"/>
  <c r="K133" i="12"/>
  <c r="J133" i="12"/>
  <c r="D133" i="12"/>
  <c r="K132" i="12"/>
  <c r="J132" i="12"/>
  <c r="D132" i="12"/>
  <c r="K131" i="12"/>
  <c r="J131" i="12"/>
  <c r="D131" i="12"/>
  <c r="K130" i="12"/>
  <c r="J130" i="12"/>
  <c r="D130" i="12"/>
  <c r="K129" i="12"/>
  <c r="J129" i="12"/>
  <c r="D129" i="12"/>
  <c r="K128" i="12"/>
  <c r="J128" i="12"/>
  <c r="D128" i="12"/>
  <c r="K127" i="12"/>
  <c r="J127" i="12"/>
  <c r="D127" i="12"/>
  <c r="K126" i="12"/>
  <c r="J126" i="12"/>
  <c r="D126" i="12"/>
  <c r="K125" i="12"/>
  <c r="J125" i="12"/>
  <c r="D125" i="12"/>
  <c r="K124" i="12"/>
  <c r="J124" i="12"/>
  <c r="D124" i="12"/>
  <c r="K123" i="12"/>
  <c r="J123" i="12"/>
  <c r="D123" i="12"/>
  <c r="K122" i="12"/>
  <c r="J122" i="12"/>
  <c r="D122" i="12"/>
  <c r="K121" i="12"/>
  <c r="J121" i="12"/>
  <c r="D121" i="12"/>
  <c r="K120" i="12"/>
  <c r="J120" i="12"/>
  <c r="D120" i="12"/>
  <c r="K119" i="12"/>
  <c r="J119" i="12"/>
  <c r="D119" i="12"/>
  <c r="K118" i="12"/>
  <c r="J118" i="12"/>
  <c r="D118" i="12"/>
  <c r="K117" i="12"/>
  <c r="J117" i="12"/>
  <c r="D117" i="12"/>
  <c r="K116" i="12"/>
  <c r="J116" i="12"/>
  <c r="D116" i="12"/>
  <c r="K115" i="12"/>
  <c r="J115" i="12"/>
  <c r="D115" i="12"/>
  <c r="D114" i="12"/>
  <c r="D113" i="12"/>
  <c r="D112" i="12"/>
  <c r="D111" i="12"/>
  <c r="D110" i="12"/>
  <c r="K109" i="12"/>
  <c r="J109" i="12"/>
  <c r="I109" i="12"/>
  <c r="D109" i="12"/>
  <c r="K108" i="12"/>
  <c r="J108" i="12"/>
  <c r="I108" i="12"/>
  <c r="D108" i="12"/>
  <c r="K107" i="12"/>
  <c r="J107" i="12"/>
  <c r="I107" i="12"/>
  <c r="D107" i="12"/>
  <c r="K106" i="12"/>
  <c r="J106" i="12"/>
  <c r="I106" i="12"/>
  <c r="D106" i="12"/>
  <c r="K105" i="12"/>
  <c r="J105" i="12"/>
  <c r="I105" i="12"/>
  <c r="D105" i="12"/>
  <c r="K104" i="12"/>
  <c r="J104" i="12"/>
  <c r="I104" i="12"/>
  <c r="D104" i="12"/>
  <c r="K103" i="12"/>
  <c r="J103" i="12"/>
  <c r="I103" i="12"/>
  <c r="D103" i="12"/>
  <c r="K102" i="12"/>
  <c r="J102" i="12"/>
  <c r="I102" i="12"/>
  <c r="D102" i="12"/>
  <c r="K101" i="12"/>
  <c r="J101" i="12"/>
  <c r="I101" i="12"/>
  <c r="D101" i="12"/>
  <c r="K100" i="12"/>
  <c r="J100" i="12"/>
  <c r="I100" i="12"/>
  <c r="D100" i="12"/>
  <c r="K99" i="12"/>
  <c r="J99" i="12"/>
  <c r="I99" i="12"/>
  <c r="D99" i="12"/>
  <c r="K98" i="12"/>
  <c r="J98" i="12"/>
  <c r="I98" i="12"/>
  <c r="D98" i="12"/>
  <c r="K97" i="12"/>
  <c r="J97" i="12"/>
  <c r="I97" i="12"/>
  <c r="D97" i="12"/>
  <c r="K96" i="12"/>
  <c r="J96" i="12"/>
  <c r="I96" i="12"/>
  <c r="D96" i="12"/>
  <c r="K95" i="12"/>
  <c r="J95" i="12"/>
  <c r="I95" i="12"/>
  <c r="D95" i="12"/>
  <c r="K94" i="12"/>
  <c r="J94" i="12"/>
  <c r="I94" i="12"/>
  <c r="D94" i="12"/>
  <c r="K93" i="12"/>
  <c r="J93" i="12"/>
  <c r="I93" i="12"/>
  <c r="D93" i="12"/>
  <c r="K92" i="12"/>
  <c r="J92" i="12"/>
  <c r="I92" i="12"/>
  <c r="D92" i="12"/>
  <c r="K91" i="12"/>
  <c r="J91" i="12"/>
  <c r="I91" i="12"/>
  <c r="D91" i="12"/>
  <c r="K90" i="12"/>
  <c r="J90" i="12"/>
  <c r="I90" i="12"/>
  <c r="D90" i="12"/>
  <c r="K89" i="12"/>
  <c r="J89" i="12"/>
  <c r="I89" i="12"/>
  <c r="D89" i="12"/>
  <c r="K88" i="12"/>
  <c r="J88" i="12"/>
  <c r="I88" i="12"/>
  <c r="D88" i="12"/>
  <c r="K87" i="12"/>
  <c r="J87" i="12"/>
  <c r="I87" i="12"/>
  <c r="D87" i="12"/>
  <c r="K86" i="12"/>
  <c r="J86" i="12"/>
  <c r="I86" i="12"/>
  <c r="D86" i="12"/>
  <c r="K85" i="12"/>
  <c r="J85" i="12"/>
  <c r="I85" i="12"/>
  <c r="D85" i="12"/>
  <c r="K84" i="12"/>
  <c r="J84" i="12"/>
  <c r="I84" i="12"/>
  <c r="D84" i="12"/>
  <c r="K83" i="12"/>
  <c r="J83" i="12"/>
  <c r="I83" i="12"/>
  <c r="D83" i="12"/>
  <c r="K82" i="12"/>
  <c r="J82" i="12"/>
  <c r="I82" i="12"/>
  <c r="D82" i="12"/>
  <c r="K81" i="12"/>
  <c r="J81" i="12"/>
  <c r="I81" i="12"/>
  <c r="D81" i="12"/>
  <c r="K80" i="12"/>
  <c r="J80" i="12"/>
  <c r="I80" i="12"/>
  <c r="D80" i="12"/>
  <c r="K79" i="12"/>
  <c r="J79" i="12"/>
  <c r="I79" i="12"/>
  <c r="D79" i="12"/>
  <c r="K78" i="12"/>
  <c r="J78" i="12"/>
  <c r="I78" i="12"/>
  <c r="D78" i="12"/>
  <c r="K77" i="12"/>
  <c r="J77" i="12"/>
  <c r="I77" i="12"/>
  <c r="D77" i="12"/>
  <c r="K76" i="12"/>
  <c r="J76" i="12"/>
  <c r="I76" i="12"/>
  <c r="D76" i="12"/>
  <c r="K75" i="12"/>
  <c r="J75" i="12"/>
  <c r="I75" i="12"/>
  <c r="D75" i="12"/>
  <c r="K74" i="12"/>
  <c r="J74" i="12"/>
  <c r="I74" i="12"/>
  <c r="D74" i="12"/>
  <c r="K73" i="12"/>
  <c r="J73" i="12"/>
  <c r="I73" i="12"/>
  <c r="D73" i="12"/>
  <c r="K72" i="12"/>
  <c r="J72" i="12"/>
  <c r="I72" i="12"/>
  <c r="D72" i="12"/>
  <c r="K71" i="12"/>
  <c r="J71" i="12"/>
  <c r="I71" i="12"/>
  <c r="D71" i="12"/>
  <c r="K70" i="12"/>
  <c r="J70" i="12"/>
  <c r="I70" i="12"/>
  <c r="D70" i="12"/>
  <c r="K69" i="12"/>
  <c r="J69" i="12"/>
  <c r="I69" i="12"/>
  <c r="D69" i="12"/>
  <c r="K68" i="12"/>
  <c r="J68" i="12"/>
  <c r="I68" i="12"/>
  <c r="D68" i="12"/>
  <c r="K67" i="12"/>
  <c r="J67" i="12"/>
  <c r="I67" i="12"/>
  <c r="D67" i="12"/>
  <c r="K66" i="12"/>
  <c r="J66" i="12"/>
  <c r="I66" i="12"/>
  <c r="D66" i="12"/>
  <c r="K65" i="12"/>
  <c r="J65" i="12"/>
  <c r="C65" i="12"/>
  <c r="I65" i="12" s="1"/>
  <c r="K64" i="12"/>
  <c r="J64" i="12"/>
  <c r="C64" i="12"/>
  <c r="I64" i="12" s="1"/>
  <c r="K63" i="12"/>
  <c r="J63" i="12"/>
  <c r="C63" i="12"/>
  <c r="I63" i="12" s="1"/>
  <c r="K62" i="12"/>
  <c r="J62" i="12"/>
  <c r="C62" i="12"/>
  <c r="I62" i="12" s="1"/>
  <c r="K61" i="12"/>
  <c r="J61" i="12"/>
  <c r="C61" i="12"/>
  <c r="I61" i="12" s="1"/>
  <c r="K60" i="12"/>
  <c r="J60" i="12"/>
  <c r="I60" i="12"/>
  <c r="D60" i="12"/>
  <c r="K59" i="12"/>
  <c r="J59" i="12"/>
  <c r="C59" i="12"/>
  <c r="I59" i="12" s="1"/>
  <c r="K58" i="12"/>
  <c r="J58" i="12"/>
  <c r="C58" i="12"/>
  <c r="I58" i="12" s="1"/>
  <c r="K57" i="12"/>
  <c r="J57" i="12"/>
  <c r="I57" i="12"/>
  <c r="D57" i="12"/>
  <c r="K56" i="12"/>
  <c r="J56" i="12"/>
  <c r="C56" i="12"/>
  <c r="I56" i="12" s="1"/>
  <c r="K55" i="12"/>
  <c r="J55" i="12"/>
  <c r="I55" i="12"/>
  <c r="D55" i="12"/>
  <c r="K54" i="12"/>
  <c r="J54" i="12"/>
  <c r="I54" i="12"/>
  <c r="D54" i="12"/>
  <c r="K53" i="12"/>
  <c r="J53" i="12"/>
  <c r="I53" i="12"/>
  <c r="D53" i="12"/>
  <c r="K52" i="12"/>
  <c r="J52" i="12"/>
  <c r="I52" i="12"/>
  <c r="D52" i="12"/>
  <c r="K51" i="12"/>
  <c r="J51" i="12"/>
  <c r="I51" i="12"/>
  <c r="D51" i="12"/>
  <c r="K50" i="12"/>
  <c r="J50" i="12"/>
  <c r="I50" i="12"/>
  <c r="D50" i="12"/>
  <c r="K49" i="12"/>
  <c r="J49" i="12"/>
  <c r="I49" i="12"/>
  <c r="D49" i="12"/>
  <c r="K48" i="12"/>
  <c r="J48" i="12"/>
  <c r="I48" i="12"/>
  <c r="D48" i="12"/>
  <c r="K47" i="12"/>
  <c r="J47" i="12"/>
  <c r="I47" i="12"/>
  <c r="D47" i="12"/>
  <c r="K46" i="12"/>
  <c r="J46" i="12"/>
  <c r="I46" i="12"/>
  <c r="D46" i="12"/>
  <c r="K45" i="12"/>
  <c r="J45" i="12"/>
  <c r="I45" i="12"/>
  <c r="D45" i="12"/>
  <c r="K44" i="12"/>
  <c r="J44" i="12"/>
  <c r="I44" i="12"/>
  <c r="D44" i="12"/>
  <c r="K43" i="12"/>
  <c r="J43" i="12"/>
  <c r="I43" i="12"/>
  <c r="D43" i="12"/>
  <c r="K42" i="12"/>
  <c r="J42" i="12"/>
  <c r="I42" i="12"/>
  <c r="D42" i="12"/>
  <c r="K41" i="12"/>
  <c r="J41" i="12"/>
  <c r="I41" i="12"/>
  <c r="D41" i="12"/>
  <c r="K40" i="12"/>
  <c r="J40" i="12"/>
  <c r="I40" i="12"/>
  <c r="D40" i="12"/>
  <c r="K39" i="12"/>
  <c r="J39" i="12"/>
  <c r="I39" i="12"/>
  <c r="D39" i="12"/>
  <c r="K38" i="12"/>
  <c r="J38" i="12"/>
  <c r="I38" i="12"/>
  <c r="D38" i="12"/>
  <c r="K37" i="12"/>
  <c r="J37" i="12"/>
  <c r="I37" i="12"/>
  <c r="D37" i="12"/>
  <c r="K36" i="12"/>
  <c r="J36" i="12"/>
  <c r="I36" i="12"/>
  <c r="D36" i="12"/>
  <c r="K35" i="12"/>
  <c r="J35" i="12"/>
  <c r="I35" i="12"/>
  <c r="D35" i="12"/>
  <c r="K34" i="12"/>
  <c r="J34" i="12"/>
  <c r="I34" i="12"/>
  <c r="D34" i="12"/>
  <c r="K33" i="12"/>
  <c r="J33" i="12"/>
  <c r="I33" i="12"/>
  <c r="D33" i="12"/>
  <c r="K32" i="12"/>
  <c r="J32" i="12"/>
  <c r="I32" i="12"/>
  <c r="D32" i="12"/>
  <c r="K31" i="12"/>
  <c r="J31" i="12"/>
  <c r="I31" i="12"/>
  <c r="D31" i="12"/>
  <c r="K30" i="12"/>
  <c r="J30" i="12"/>
  <c r="I30" i="12"/>
  <c r="D30" i="12"/>
  <c r="K29" i="12"/>
  <c r="J29" i="12"/>
  <c r="I29" i="12"/>
  <c r="D29" i="12"/>
  <c r="K28" i="12"/>
  <c r="J28" i="12"/>
  <c r="I28" i="12"/>
  <c r="D28" i="12"/>
  <c r="K27" i="12"/>
  <c r="J27" i="12"/>
  <c r="I27" i="12"/>
  <c r="D27" i="12"/>
  <c r="K26" i="12"/>
  <c r="J26" i="12"/>
  <c r="I26" i="12"/>
  <c r="D26" i="12"/>
  <c r="K25" i="12"/>
  <c r="J25" i="12"/>
  <c r="I25" i="12"/>
  <c r="D25" i="12"/>
  <c r="K24" i="12"/>
  <c r="J24" i="12"/>
  <c r="I24" i="12"/>
  <c r="D24" i="12"/>
  <c r="K23" i="12"/>
  <c r="J23" i="12"/>
  <c r="I23" i="12"/>
  <c r="D23" i="12"/>
  <c r="K22" i="12"/>
  <c r="J22" i="12"/>
  <c r="I22" i="12"/>
  <c r="D22" i="12"/>
  <c r="K21" i="12"/>
  <c r="J21" i="12"/>
  <c r="I21" i="12"/>
  <c r="D21" i="12"/>
  <c r="K20" i="12"/>
  <c r="J20" i="12"/>
  <c r="I20" i="12"/>
  <c r="D20" i="12"/>
  <c r="K19" i="12"/>
  <c r="J19" i="12"/>
  <c r="I19" i="12"/>
  <c r="D19" i="12"/>
  <c r="K18" i="12"/>
  <c r="J18" i="12"/>
  <c r="I18" i="12"/>
  <c r="D18" i="12"/>
  <c r="K17" i="12"/>
  <c r="J17" i="12"/>
  <c r="I17" i="12"/>
  <c r="D17" i="12"/>
  <c r="K16" i="12"/>
  <c r="J16" i="12"/>
  <c r="I16" i="12"/>
  <c r="D16" i="12"/>
  <c r="K15" i="12"/>
  <c r="J15" i="12"/>
  <c r="I15" i="12"/>
  <c r="D15" i="12"/>
  <c r="K14" i="12"/>
  <c r="J14" i="12"/>
  <c r="I14" i="12"/>
  <c r="D14" i="12"/>
  <c r="K13" i="12"/>
  <c r="J13" i="12"/>
  <c r="I13" i="12"/>
  <c r="D13" i="12"/>
  <c r="K12" i="12"/>
  <c r="J12" i="12"/>
  <c r="I12" i="12"/>
  <c r="D12" i="12"/>
  <c r="K11" i="12"/>
  <c r="J11" i="12"/>
  <c r="I11" i="12"/>
  <c r="D11" i="12"/>
  <c r="K10" i="12"/>
  <c r="J10" i="12"/>
  <c r="I10" i="12"/>
  <c r="D10" i="12"/>
  <c r="K9" i="12"/>
  <c r="J9" i="12"/>
  <c r="I9" i="12"/>
  <c r="D9" i="12"/>
  <c r="K8" i="12"/>
  <c r="J8" i="12"/>
  <c r="I8" i="12"/>
  <c r="D8" i="12"/>
  <c r="K7" i="12"/>
  <c r="J7" i="12"/>
  <c r="I7" i="12"/>
  <c r="D7" i="12"/>
  <c r="K6" i="12"/>
  <c r="J6" i="12"/>
  <c r="I6" i="12"/>
  <c r="D6" i="12"/>
  <c r="K5" i="12"/>
  <c r="J5" i="12"/>
  <c r="I5" i="12"/>
  <c r="D5" i="12"/>
  <c r="K4" i="12"/>
  <c r="J4" i="12"/>
  <c r="I4" i="12"/>
  <c r="D4" i="12"/>
  <c r="K3" i="12"/>
  <c r="J3" i="12"/>
  <c r="I3" i="12"/>
  <c r="D3" i="12"/>
  <c r="K2" i="12"/>
  <c r="J2" i="12"/>
  <c r="I2" i="12"/>
  <c r="D2" i="12"/>
  <c r="C22" i="3"/>
  <c r="D22" i="3" s="1"/>
  <c r="C65" i="1"/>
  <c r="I65" i="1" s="1"/>
  <c r="C63" i="1"/>
  <c r="I63" i="1" s="1"/>
  <c r="C64" i="1"/>
  <c r="I64" i="1" s="1"/>
  <c r="C62" i="1"/>
  <c r="I62" i="1" s="1"/>
  <c r="C61" i="1"/>
  <c r="D61" i="1" s="1"/>
  <c r="C59" i="1"/>
  <c r="D59" i="1" s="1"/>
  <c r="C58" i="1"/>
  <c r="D58" i="1" s="1"/>
  <c r="C56" i="1"/>
  <c r="I56" i="1" s="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" i="10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2" i="9"/>
  <c r="K3" i="7"/>
  <c r="K4" i="7"/>
  <c r="K5" i="7"/>
  <c r="K2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" i="5"/>
  <c r="K3" i="4"/>
  <c r="K4" i="4"/>
  <c r="K5" i="4"/>
  <c r="K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" i="3"/>
  <c r="J3" i="2"/>
  <c r="J4" i="2"/>
  <c r="J5" i="2"/>
  <c r="J6" i="2"/>
  <c r="J2" i="2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2" i="1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2" i="1"/>
  <c r="D15" i="6"/>
  <c r="D3" i="7"/>
  <c r="D4" i="7"/>
  <c r="D5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2" i="6"/>
  <c r="D3" i="4"/>
  <c r="D4" i="4"/>
  <c r="D5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3" i="3"/>
  <c r="D2" i="3"/>
  <c r="D3" i="2"/>
  <c r="D4" i="2"/>
  <c r="D5" i="2"/>
  <c r="D6" i="2"/>
  <c r="D2" i="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2" i="1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7" i="1"/>
  <c r="D60" i="1"/>
  <c r="D2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A5" i="4"/>
  <c r="A4" i="4"/>
  <c r="A3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" i="3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2" i="11"/>
  <c r="I32" i="1"/>
  <c r="I57" i="1"/>
  <c r="I25" i="1"/>
  <c r="I29" i="1"/>
  <c r="I48" i="1"/>
  <c r="I12" i="1"/>
  <c r="I28" i="1"/>
  <c r="I39" i="1"/>
  <c r="I49" i="1"/>
  <c r="I11" i="1"/>
  <c r="I51" i="1"/>
  <c r="I33" i="1"/>
  <c r="I36" i="1"/>
  <c r="I18" i="1"/>
  <c r="I52" i="1"/>
  <c r="I47" i="1"/>
  <c r="I37" i="1"/>
  <c r="I13" i="1"/>
  <c r="I6" i="1"/>
  <c r="I30" i="1"/>
  <c r="I4" i="1"/>
  <c r="I31" i="1"/>
  <c r="I27" i="1"/>
  <c r="I55" i="1"/>
  <c r="I35" i="1"/>
  <c r="I42" i="1"/>
  <c r="I17" i="1"/>
  <c r="I23" i="1"/>
  <c r="I26" i="1"/>
  <c r="I40" i="1"/>
  <c r="I46" i="1"/>
  <c r="I15" i="1"/>
  <c r="I19" i="1"/>
  <c r="I43" i="1"/>
  <c r="I44" i="1"/>
  <c r="I45" i="1"/>
  <c r="I2" i="1"/>
  <c r="I5" i="1"/>
  <c r="I22" i="1"/>
  <c r="I14" i="1"/>
  <c r="I3" i="1"/>
  <c r="I21" i="1"/>
  <c r="I41" i="1"/>
  <c r="I53" i="1"/>
  <c r="I60" i="1"/>
  <c r="I16" i="1"/>
  <c r="I34" i="1"/>
  <c r="I38" i="1"/>
  <c r="I7" i="1"/>
  <c r="I20" i="1"/>
  <c r="I8" i="1"/>
  <c r="I9" i="1"/>
  <c r="I50" i="1"/>
  <c r="I54" i="1"/>
  <c r="I10" i="1"/>
  <c r="I24" i="1"/>
  <c r="J45" i="11"/>
  <c r="J44" i="11"/>
  <c r="J43" i="11"/>
  <c r="J42" i="11"/>
  <c r="J41" i="11"/>
  <c r="J38" i="11"/>
  <c r="J36" i="11"/>
  <c r="J35" i="11"/>
  <c r="J33" i="11"/>
  <c r="J30" i="11"/>
  <c r="J29" i="11"/>
  <c r="J28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31" i="11"/>
  <c r="J32" i="11"/>
  <c r="J34" i="11"/>
  <c r="J37" i="11"/>
  <c r="J39" i="11"/>
  <c r="J40" i="11"/>
  <c r="J2" i="1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" i="10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2" i="9"/>
  <c r="J3" i="7"/>
  <c r="J4" i="7"/>
  <c r="J5" i="7"/>
  <c r="J2" i="7"/>
  <c r="K31" i="6"/>
  <c r="K30" i="6"/>
  <c r="K8" i="6"/>
  <c r="K7" i="6"/>
  <c r="K5" i="6"/>
  <c r="K3" i="6"/>
  <c r="K2" i="6"/>
  <c r="K4" i="6"/>
  <c r="K6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2" i="6"/>
  <c r="N1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" i="5"/>
  <c r="J5" i="4"/>
  <c r="J3" i="4"/>
  <c r="J4" i="4"/>
  <c r="J2" i="4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2" i="3"/>
  <c r="J3" i="3"/>
  <c r="J4" i="3"/>
  <c r="J5" i="3"/>
  <c r="I6" i="2"/>
  <c r="I5" i="2"/>
  <c r="I4" i="2"/>
  <c r="I3" i="2"/>
  <c r="I2" i="2"/>
  <c r="J65" i="1"/>
  <c r="J62" i="1"/>
  <c r="J60" i="1"/>
  <c r="J58" i="1"/>
  <c r="J57" i="1"/>
  <c r="J56" i="1"/>
  <c r="J55" i="1"/>
  <c r="J54" i="1"/>
  <c r="J53" i="1"/>
  <c r="J52" i="1"/>
  <c r="J51" i="1"/>
  <c r="J50" i="1"/>
  <c r="J47" i="1"/>
  <c r="J46" i="1"/>
  <c r="J40" i="1"/>
  <c r="J38" i="1"/>
  <c r="J36" i="1"/>
  <c r="J35" i="1"/>
  <c r="J34" i="1"/>
  <c r="J2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37" i="1"/>
  <c r="J39" i="1"/>
  <c r="J41" i="1"/>
  <c r="J42" i="1"/>
  <c r="J43" i="1"/>
  <c r="J44" i="1"/>
  <c r="J45" i="1"/>
  <c r="J48" i="1"/>
  <c r="J49" i="1"/>
  <c r="J59" i="1"/>
  <c r="J61" i="1"/>
  <c r="J63" i="1"/>
  <c r="J64" i="1"/>
  <c r="J2" i="1"/>
  <c r="D61" i="12" l="1"/>
  <c r="D56" i="12"/>
  <c r="D59" i="12"/>
  <c r="D64" i="12"/>
  <c r="D62" i="12"/>
  <c r="D65" i="12"/>
  <c r="D58" i="12"/>
  <c r="D63" i="12"/>
  <c r="D65" i="1"/>
  <c r="D63" i="1"/>
  <c r="D64" i="1"/>
  <c r="D62" i="1"/>
  <c r="I61" i="1"/>
  <c r="I59" i="1"/>
  <c r="I58" i="1"/>
  <c r="D56" i="1"/>
</calcChain>
</file>

<file path=xl/sharedStrings.xml><?xml version="1.0" encoding="utf-8"?>
<sst xmlns="http://schemas.openxmlformats.org/spreadsheetml/2006/main" count="7011" uniqueCount="844">
  <si>
    <t>Senator Plus MSC 8014</t>
  </si>
  <si>
    <t>WM</t>
  </si>
  <si>
    <t>FLM</t>
  </si>
  <si>
    <t>Senator Plus SXC 8014</t>
  </si>
  <si>
    <t>Executive Plus MXC 1014</t>
  </si>
  <si>
    <t>Senator Plus MXC 8014</t>
  </si>
  <si>
    <t>Executive MXC 9014</t>
  </si>
  <si>
    <t>Senator WSS STEAM</t>
  </si>
  <si>
    <t>Senorita SXS 6510</t>
  </si>
  <si>
    <t>Senorita VXS 6510</t>
  </si>
  <si>
    <t>Serena ZSS 7010</t>
  </si>
  <si>
    <t>Elena ZSS</t>
  </si>
  <si>
    <t>Diva Aqua VSS 7010</t>
  </si>
  <si>
    <t>Executive MSS ID</t>
  </si>
  <si>
    <t>Senator Plus SRS</t>
  </si>
  <si>
    <t>Senator MXS</t>
  </si>
  <si>
    <t>Senator SXS</t>
  </si>
  <si>
    <t>Neo Diva SXS 6010</t>
  </si>
  <si>
    <t>Elite ZSS</t>
  </si>
  <si>
    <t>Senator MXS 8014</t>
  </si>
  <si>
    <t>Senator ZMS</t>
  </si>
  <si>
    <t>Senator Plus SXS</t>
  </si>
  <si>
    <t>Senator Plus MXS</t>
  </si>
  <si>
    <t>Neo Diva SXS 7010</t>
  </si>
  <si>
    <t>Diva Aqua BXS</t>
  </si>
  <si>
    <t>Diva Aqua SXS</t>
  </si>
  <si>
    <t>Neo Diva VXS 6010</t>
  </si>
  <si>
    <t>Executive Plus VX Eco Inverter</t>
  </si>
  <si>
    <t>Elena Plus SXS</t>
  </si>
  <si>
    <t>Diva Aqua SXS 7010</t>
  </si>
  <si>
    <t>Executive MXS ID 1014</t>
  </si>
  <si>
    <t>Executive Plus VSC 1014</t>
  </si>
  <si>
    <t>Diva Aqua SBS</t>
  </si>
  <si>
    <t>Elite MXS 7012</t>
  </si>
  <si>
    <t>Senator VSS 8012</t>
  </si>
  <si>
    <t>Executive SXS 9014</t>
  </si>
  <si>
    <t>Elite Plus WSS 7012</t>
  </si>
  <si>
    <t>Executive MSC 9014</t>
  </si>
  <si>
    <t>Senator VXS</t>
  </si>
  <si>
    <t>Elena SBS</t>
  </si>
  <si>
    <t>Neo Diva VXS 7010</t>
  </si>
  <si>
    <t>Senator Plus VXS</t>
  </si>
  <si>
    <t>Neo Diva BXS 7010</t>
  </si>
  <si>
    <t>Senator Neo MXS</t>
  </si>
  <si>
    <t>Senator Neo SXS 8012</t>
  </si>
  <si>
    <t>Senator Neo VXS 8012</t>
  </si>
  <si>
    <t>Neo Diva WSS 7010</t>
  </si>
  <si>
    <t>Eva Plus ZWS 6010</t>
  </si>
  <si>
    <t>Diva Aqua VSS</t>
  </si>
  <si>
    <t>Elena SXS</t>
  </si>
  <si>
    <t>Senorita WXS</t>
  </si>
  <si>
    <t>Elena ZX</t>
  </si>
  <si>
    <t>Elite ZXS</t>
  </si>
  <si>
    <t>Senator Smart Touch SX</t>
  </si>
  <si>
    <t>Serena WXS</t>
  </si>
  <si>
    <t>Executive Smart Touch SXS</t>
  </si>
  <si>
    <t>Senator MSN 8014</t>
  </si>
  <si>
    <t>Diva Aqua SBS 6008</t>
  </si>
  <si>
    <t>Senator GXN 8012</t>
  </si>
  <si>
    <t>Executive MBN 9014K</t>
  </si>
  <si>
    <t>Senator SXN 8014</t>
  </si>
  <si>
    <t>Executive BXN 9014K</t>
  </si>
  <si>
    <t>Senator BXN 8012</t>
  </si>
  <si>
    <t>Executive MSN 9014K</t>
  </si>
  <si>
    <t>Senator MBN 8012</t>
  </si>
  <si>
    <t>Executive SXN 9014K</t>
  </si>
  <si>
    <t>Product</t>
  </si>
  <si>
    <t>Category</t>
  </si>
  <si>
    <t>Sub-Cat</t>
  </si>
  <si>
    <t>Product URL</t>
  </si>
  <si>
    <t>Discounted</t>
  </si>
  <si>
    <t>Price</t>
  </si>
  <si>
    <t>Brand</t>
  </si>
  <si>
    <t>IFB</t>
  </si>
  <si>
    <t>Capacity</t>
  </si>
  <si>
    <t>RPM</t>
  </si>
  <si>
    <t>Weight</t>
  </si>
  <si>
    <t>Energy Rating</t>
  </si>
  <si>
    <t>Water Consumption</t>
  </si>
  <si>
    <t>Energy Consumption</t>
  </si>
  <si>
    <t>Body Color</t>
  </si>
  <si>
    <t>Silver</t>
  </si>
  <si>
    <t>Display</t>
  </si>
  <si>
    <t>LED</t>
  </si>
  <si>
    <t>KF1</t>
  </si>
  <si>
    <t>KF2</t>
  </si>
  <si>
    <t>KF3</t>
  </si>
  <si>
    <t>KF4</t>
  </si>
  <si>
    <t>KF5</t>
  </si>
  <si>
    <t>KF6</t>
  </si>
  <si>
    <t>KF7</t>
  </si>
  <si>
    <t>KF8</t>
  </si>
  <si>
    <t>SF1</t>
  </si>
  <si>
    <t>SF2</t>
  </si>
  <si>
    <t>SF3</t>
  </si>
  <si>
    <t>SF4</t>
  </si>
  <si>
    <t>SF5</t>
  </si>
  <si>
    <t>AI</t>
  </si>
  <si>
    <t>Power Steam</t>
  </si>
  <si>
    <t>Eco Inverter Motor</t>
  </si>
  <si>
    <t>Aqua Energie</t>
  </si>
  <si>
    <t>3D Wash System</t>
  </si>
  <si>
    <t>9 Swirl</t>
  </si>
  <si>
    <t>WiFi</t>
  </si>
  <si>
    <t>Refresh</t>
  </si>
  <si>
    <t>Auto Imbalance Vibration</t>
  </si>
  <si>
    <t>High Low Voltage Protection</t>
  </si>
  <si>
    <t>Foam Detection</t>
  </si>
  <si>
    <t>Auto Restart</t>
  </si>
  <si>
    <t>Self Diagnosis</t>
  </si>
  <si>
    <t>KF9</t>
  </si>
  <si>
    <t>Voice</t>
  </si>
  <si>
    <t>WPO1</t>
  </si>
  <si>
    <t>WPO2</t>
  </si>
  <si>
    <t>WPO3</t>
  </si>
  <si>
    <t>Steam</t>
  </si>
  <si>
    <t>Prewash</t>
  </si>
  <si>
    <t>Warm Soak</t>
  </si>
  <si>
    <t>WPO4</t>
  </si>
  <si>
    <t>Extra Rinse</t>
  </si>
  <si>
    <t>WPO5</t>
  </si>
  <si>
    <t>Hot Rinse</t>
  </si>
  <si>
    <t>WPO6</t>
  </si>
  <si>
    <t>Anticrease</t>
  </si>
  <si>
    <t>Mocha</t>
  </si>
  <si>
    <t>Oxyjet</t>
  </si>
  <si>
    <t>4D Wash System</t>
  </si>
  <si>
    <t>White</t>
  </si>
  <si>
    <t>2D Wash System</t>
  </si>
  <si>
    <t>KF10</t>
  </si>
  <si>
    <t>O2 Bubble Wash</t>
  </si>
  <si>
    <t>STS VCM</t>
  </si>
  <si>
    <t>Grey</t>
  </si>
  <si>
    <t>Black</t>
  </si>
  <si>
    <t>https://www.ifbappliances.com/senator-plus-msc-8014</t>
  </si>
  <si>
    <t>https://www.ifbappliances.com/senator-plus-sxc-8014</t>
  </si>
  <si>
    <t>https://www.ifbappliances.com/executive-plus-mxc-1014</t>
  </si>
  <si>
    <t>https://www.ifbappliances.com/senator-plus-mxc-8014</t>
  </si>
  <si>
    <t>https://www.ifbappliances.com/executive-mxc-9014</t>
  </si>
  <si>
    <t>https://www.ifbappliances.com/senator-wss-steam-8-kg-1400-rpm</t>
  </si>
  <si>
    <t>https://www.ifbappliances.com/senorita-sxs</t>
  </si>
  <si>
    <t>https://www.ifbappliances.com/senorita-vxs</t>
  </si>
  <si>
    <t>https://www.ifbappliances.com/serena-zss</t>
  </si>
  <si>
    <t>https://www.ifbappliances.com/elena-zss</t>
  </si>
  <si>
    <t>https://www.ifbappliances.com/diva-aqua-vss-7010</t>
  </si>
  <si>
    <t>https://www.ifbappliances.com/executive-mss-id</t>
  </si>
  <si>
    <t>https://www.ifbappliances.com/senator-plus-srs</t>
  </si>
  <si>
    <t>https://www.ifbappliances.com/senator-mxs</t>
  </si>
  <si>
    <t>https://www.ifbappliances.com/senator-sxs</t>
  </si>
  <si>
    <t>https://www.ifbappliances.com/neo-diva-sxs-6-kg</t>
  </si>
  <si>
    <t>https://www.ifbappliances.com/elite-zss</t>
  </si>
  <si>
    <t>https://www.ifbappliances.com/senator-mxs-8014</t>
  </si>
  <si>
    <t>https://www.ifbappliances.com/senator-zms</t>
  </si>
  <si>
    <t>https://www.ifbappliances.com/senator-plus-sxs</t>
  </si>
  <si>
    <t>https://www.ifbappliances.com/senator-plus-mxs</t>
  </si>
  <si>
    <t>https://www.ifbappliances.com/neo-diva-sxs-7010</t>
  </si>
  <si>
    <t>https://www.ifbappliances.com/diva-aqua-bxs</t>
  </si>
  <si>
    <t>https://www.ifbappliances.com/diva-aqua-sxs-6-kg</t>
  </si>
  <si>
    <t>https://www.ifbappliances.com/neo-diva-vxs-6010</t>
  </si>
  <si>
    <t>https://www.ifbappliances.com/executive-plus-vx-eco-inverter</t>
  </si>
  <si>
    <t>https://www.ifbappliances.com/elena-plus-sxs</t>
  </si>
  <si>
    <t>https://www.ifbappliances.com/diva-aqua-sxs-7010</t>
  </si>
  <si>
    <t>https://www.ifbappliances.com/executive-mxs-id-1014</t>
  </si>
  <si>
    <t>https://www.ifbappliances.com/executive-plus-vsc-1014</t>
  </si>
  <si>
    <t>https://www.ifbappliances.com/diva-aqua-sbs-6-kg</t>
  </si>
  <si>
    <t>https://www.ifbappliances.com/elite-mxs-7012</t>
  </si>
  <si>
    <t>https://www.ifbappliances.com/senator-vss</t>
  </si>
  <si>
    <t>https://www.ifbappliances.com/executive-sxs-9014</t>
  </si>
  <si>
    <t>https://www.ifbappliances.com/elite-plus-wss-7-kg</t>
  </si>
  <si>
    <t>https://www.ifbappliances.com/executive-msc-9014</t>
  </si>
  <si>
    <t>https://www.ifbappliances.com/senator-vxs-8-kg-1200-rpm</t>
  </si>
  <si>
    <t>https://www.ifbappliances.com/elena-sbs</t>
  </si>
  <si>
    <t>https://www.ifbappliances.com/neo-diva-vxs</t>
  </si>
  <si>
    <t>https://www.ifbappliances.com/senator-plus-vxs</t>
  </si>
  <si>
    <t>https://www.ifbappliances.com/neo-diva-bxs</t>
  </si>
  <si>
    <t>https://www.ifbappliances.com/senator-neo-mxs</t>
  </si>
  <si>
    <t>https://www.ifbappliances.com/senator-neo-sxs-8012</t>
  </si>
  <si>
    <t>https://www.ifbappliances.com/senator-neo-vxs-8012</t>
  </si>
  <si>
    <t>https://www.ifbappliances.com/neo-diva-wss</t>
  </si>
  <si>
    <t>https://www.ifbappliances.com/eva-plus-zws</t>
  </si>
  <si>
    <t>https://www.ifbappliances.com/diva-aqua-vss-6-kg</t>
  </si>
  <si>
    <t>https://www.ifbappliances.com/elena-sxs</t>
  </si>
  <si>
    <t>https://www.ifbappliances.com/senorita-wxs-6-5-kg-1000-rpm</t>
  </si>
  <si>
    <t>https://www.ifbappliances.com/elena-zx-6-5-kg-1000-rpm</t>
  </si>
  <si>
    <t>https://www.ifbappliances.com/elite-zxs-7kg-1000-rpm</t>
  </si>
  <si>
    <t>https://www.ifbappliances.com/senator-smart-touch-sx-8-5-kg</t>
  </si>
  <si>
    <t>https://www.ifbappliances.com/serena-wxs-7-kg-1200-rpm</t>
  </si>
  <si>
    <t>https://www.ifbappliances.com/executive-smart-touch-sxs</t>
  </si>
  <si>
    <t>https://www.ifbappliances.com/senator-msn-8014</t>
  </si>
  <si>
    <t>https://www.ifbappliances.com/diva-aqua-sbs-6008</t>
  </si>
  <si>
    <t>https://www.ifbappliances.com/senator-gxn-8012</t>
  </si>
  <si>
    <t>https://www.ifbappliances.com/executive-mbn-9014k</t>
  </si>
  <si>
    <t>https://www.ifbappliances.com/senator-sxn-8014</t>
  </si>
  <si>
    <t>https://www.ifbappliances.com/executive-bxn-9014k</t>
  </si>
  <si>
    <t>https://www.ifbappliances.com/senator-bxn-8012</t>
  </si>
  <si>
    <t>https://www.ifbappliances.com/executive-msn-9014k</t>
  </si>
  <si>
    <t>https://www.ifbappliances.com/senator-mbn-8012</t>
  </si>
  <si>
    <t>https://www.ifbappliances.com/executive-sxn-9014k</t>
  </si>
  <si>
    <t>TurboDry 550</t>
  </si>
  <si>
    <t>CD</t>
  </si>
  <si>
    <t>Energy</t>
  </si>
  <si>
    <t>Cool Down</t>
  </si>
  <si>
    <t>Color</t>
  </si>
  <si>
    <t>Hot Air Drying</t>
  </si>
  <si>
    <t>Refresh Cycle</t>
  </si>
  <si>
    <t>Flexible Placement</t>
  </si>
  <si>
    <t>Lint Filter</t>
  </si>
  <si>
    <t>2 Way Air Flow</t>
  </si>
  <si>
    <t>Safety Door Limit Switch</t>
  </si>
  <si>
    <t>Thermal Overload Protector</t>
  </si>
  <si>
    <t>DP1</t>
  </si>
  <si>
    <t>DP2</t>
  </si>
  <si>
    <t>DP3</t>
  </si>
  <si>
    <t>Mixed Load</t>
  </si>
  <si>
    <t>Synthetic</t>
  </si>
  <si>
    <t>Cotton</t>
  </si>
  <si>
    <t>Turbo Dry MX</t>
  </si>
  <si>
    <t>Turbo Dry LX</t>
  </si>
  <si>
    <t>Turbo Dry RX</t>
  </si>
  <si>
    <t>TurboDry EX</t>
  </si>
  <si>
    <t>Yellow</t>
  </si>
  <si>
    <t>Red</t>
  </si>
  <si>
    <t>20PM-MEC2B</t>
  </si>
  <si>
    <t>25PM2S</t>
  </si>
  <si>
    <t>24PM2B</t>
  </si>
  <si>
    <t>20PM-MEC2</t>
  </si>
  <si>
    <t>MW</t>
  </si>
  <si>
    <t>MW-Solo</t>
  </si>
  <si>
    <t>Type</t>
  </si>
  <si>
    <t>Free Standing</t>
  </si>
  <si>
    <t>OutputW</t>
  </si>
  <si>
    <t>Auto Defrost</t>
  </si>
  <si>
    <t>Power Levels</t>
  </si>
  <si>
    <t>Overheating Protection</t>
  </si>
  <si>
    <t>Intelligent System Cooling</t>
  </si>
  <si>
    <t>OF1</t>
  </si>
  <si>
    <t>Timer</t>
  </si>
  <si>
    <t>Steam Clean</t>
  </si>
  <si>
    <t>Disinfect</t>
  </si>
  <si>
    <t>Deodorizer</t>
  </si>
  <si>
    <t>Auto Reheat</t>
  </si>
  <si>
    <t>Power Save</t>
  </si>
  <si>
    <t>Child Safety Lock</t>
  </si>
  <si>
    <t>OF2</t>
  </si>
  <si>
    <t>OF3</t>
  </si>
  <si>
    <t>Digital Clock</t>
  </si>
  <si>
    <t>Express Cook</t>
  </si>
  <si>
    <t>Plug and Start Counter Top</t>
  </si>
  <si>
    <t>20PG4S</t>
  </si>
  <si>
    <t>MW-Grill</t>
  </si>
  <si>
    <t>Grill+Microwave</t>
  </si>
  <si>
    <t>23SC3</t>
  </si>
  <si>
    <t>25BC3</t>
  </si>
  <si>
    <t>30BRC2</t>
  </si>
  <si>
    <t>23BC4</t>
  </si>
  <si>
    <t>25SC4</t>
  </si>
  <si>
    <t>30FRC2</t>
  </si>
  <si>
    <t>20BC4</t>
  </si>
  <si>
    <t>25BC4</t>
  </si>
  <si>
    <t>28BC5</t>
  </si>
  <si>
    <t>30BRC3</t>
  </si>
  <si>
    <t>30SC4</t>
  </si>
  <si>
    <t>20BC5</t>
  </si>
  <si>
    <t>23BC5</t>
  </si>
  <si>
    <t>30BC5</t>
  </si>
  <si>
    <t>25DGBC2</t>
  </si>
  <si>
    <t>21SC5</t>
  </si>
  <si>
    <t>20SC2</t>
  </si>
  <si>
    <t>MW-Convection</t>
  </si>
  <si>
    <t>Yoghurt</t>
  </si>
  <si>
    <t>Fermentation</t>
  </si>
  <si>
    <t>10 Power Levels</t>
  </si>
  <si>
    <t>Grill+Microwave+Convection</t>
  </si>
  <si>
    <t>Sensor Malfunction Protection</t>
  </si>
  <si>
    <t>KF11</t>
  </si>
  <si>
    <t>Rotisserie</t>
  </si>
  <si>
    <t>5 Power Levels</t>
  </si>
  <si>
    <t>NEPTUNE VX16</t>
  </si>
  <si>
    <t>DW</t>
  </si>
  <si>
    <t>Place Settings</t>
  </si>
  <si>
    <t>Noise Level</t>
  </si>
  <si>
    <t>Iron</t>
  </si>
  <si>
    <t>360 Jet Wash</t>
  </si>
  <si>
    <t>Hot Water Wash</t>
  </si>
  <si>
    <t>Intelligent Sensor</t>
  </si>
  <si>
    <t>Auto Door Opening</t>
  </si>
  <si>
    <t>Active Anti-Microbial Filter</t>
  </si>
  <si>
    <t>In-Built Water Softening</t>
  </si>
  <si>
    <t>Self-Cleaning</t>
  </si>
  <si>
    <t>Turbo Drying</t>
  </si>
  <si>
    <t>WM1</t>
  </si>
  <si>
    <t>WM2</t>
  </si>
  <si>
    <t>Full Load</t>
  </si>
  <si>
    <t>Flexi Half Load</t>
  </si>
  <si>
    <t>WP1</t>
  </si>
  <si>
    <t>WP2</t>
  </si>
  <si>
    <t>WP3</t>
  </si>
  <si>
    <t>WP4</t>
  </si>
  <si>
    <t>WP5</t>
  </si>
  <si>
    <t>WP6</t>
  </si>
  <si>
    <t>WP7</t>
  </si>
  <si>
    <t>Light Soiled</t>
  </si>
  <si>
    <t>Eco Wash</t>
  </si>
  <si>
    <t>Easy Care 60</t>
  </si>
  <si>
    <t>Auto Delicate</t>
  </si>
  <si>
    <t>Auto Normal</t>
  </si>
  <si>
    <t>Auto Intense</t>
  </si>
  <si>
    <t>Child Lock</t>
  </si>
  <si>
    <t>Error Detection</t>
  </si>
  <si>
    <t>Leakage Protection</t>
  </si>
  <si>
    <t>Heater Protection</t>
  </si>
  <si>
    <t>Neptune VX2 Plus</t>
  </si>
  <si>
    <t>Neptune SX2</t>
  </si>
  <si>
    <t>Neptune BI2</t>
  </si>
  <si>
    <t>Super 65</t>
  </si>
  <si>
    <t>Built In</t>
  </si>
  <si>
    <t>Choice</t>
  </si>
  <si>
    <t>Half Load</t>
  </si>
  <si>
    <t>IVS 7005 LR</t>
  </si>
  <si>
    <t>ST</t>
  </si>
  <si>
    <t>ST-WM</t>
  </si>
  <si>
    <t>ST-RF</t>
  </si>
  <si>
    <t>2 Amp</t>
  </si>
  <si>
    <t>RF</t>
  </si>
  <si>
    <t>F1</t>
  </si>
  <si>
    <t>F2</t>
  </si>
  <si>
    <t>F3</t>
  </si>
  <si>
    <t>Thermal Overload Protection</t>
  </si>
  <si>
    <t>High-Low Voltage Cutoff</t>
  </si>
  <si>
    <t>Widest Range</t>
  </si>
  <si>
    <t>IVS 9505 LR</t>
  </si>
  <si>
    <t>IVS 10005 R</t>
  </si>
  <si>
    <t>IVS 13005 R</t>
  </si>
  <si>
    <t>IVS 1455 WMT</t>
  </si>
  <si>
    <t>IVS 1705 WMT</t>
  </si>
  <si>
    <t>IVS 1405 WMT</t>
  </si>
  <si>
    <t>IVS 1605 WMT</t>
  </si>
  <si>
    <t>IVS 515 WMT</t>
  </si>
  <si>
    <t>IVS 410 LA</t>
  </si>
  <si>
    <t>ST-AC</t>
  </si>
  <si>
    <t>IVS 405 DLA</t>
  </si>
  <si>
    <t>IVS 405 SLA</t>
  </si>
  <si>
    <t>IVS 29045 ML</t>
  </si>
  <si>
    <t>ST-Mainline</t>
  </si>
  <si>
    <t>IVS 1010050 ML</t>
  </si>
  <si>
    <t>IVS 510050 ML</t>
  </si>
  <si>
    <t>IVS 955A</t>
  </si>
  <si>
    <t>IVS 1455A</t>
  </si>
  <si>
    <t>IVS 1705A</t>
  </si>
  <si>
    <t>IVS 1805A</t>
  </si>
  <si>
    <t>IVS 954A</t>
  </si>
  <si>
    <t>IVS 1454A</t>
  </si>
  <si>
    <t>IVS 1704A</t>
  </si>
  <si>
    <t>IVS 1804A</t>
  </si>
  <si>
    <t>AC</t>
  </si>
  <si>
    <t>F4</t>
  </si>
  <si>
    <t>3 Amp</t>
  </si>
  <si>
    <t>6 Amp</t>
  </si>
  <si>
    <t>12 Amp</t>
  </si>
  <si>
    <t>15 Amp</t>
  </si>
  <si>
    <t>A1</t>
  </si>
  <si>
    <t>A2</t>
  </si>
  <si>
    <t>0.5 Ton AC</t>
  </si>
  <si>
    <t>F5</t>
  </si>
  <si>
    <t>F7</t>
  </si>
  <si>
    <t>F6</t>
  </si>
  <si>
    <t>Wall mount</t>
  </si>
  <si>
    <t>Digital micro-processor controlled circuit</t>
  </si>
  <si>
    <t>1.5 Ton AC</t>
  </si>
  <si>
    <t>NTC Protection</t>
  </si>
  <si>
    <t>25 Amp Mainline</t>
  </si>
  <si>
    <t>25 Amp</t>
  </si>
  <si>
    <t>F8</t>
  </si>
  <si>
    <t>Bypass MCB</t>
  </si>
  <si>
    <t>2 Ton AC</t>
  </si>
  <si>
    <t>Star Rating</t>
  </si>
  <si>
    <t>Ivory</t>
  </si>
  <si>
    <t>8in1</t>
  </si>
  <si>
    <t>Filter Clean Indicator</t>
  </si>
  <si>
    <t>HD Compressor</t>
  </si>
  <si>
    <t>Dual Goldfin Heat Exchanger</t>
  </si>
  <si>
    <t>Nano-Tek Coating</t>
  </si>
  <si>
    <t>Fireproof ECB</t>
  </si>
  <si>
    <t>Copper Piping</t>
  </si>
  <si>
    <t>Air Cooled PCB</t>
  </si>
  <si>
    <t>Aerodynamic Blower</t>
  </si>
  <si>
    <t>Airflower Direction</t>
  </si>
  <si>
    <t>ATF1</t>
  </si>
  <si>
    <t>ATF2</t>
  </si>
  <si>
    <t>Dust Filter</t>
  </si>
  <si>
    <t>Aroma Diffuser</t>
  </si>
  <si>
    <t>M1</t>
  </si>
  <si>
    <t>Turbo Mode</t>
  </si>
  <si>
    <t>Feel Mode</t>
  </si>
  <si>
    <t>Cool Mode</t>
  </si>
  <si>
    <t>Dry Mode</t>
  </si>
  <si>
    <t>Fan Mode</t>
  </si>
  <si>
    <t>Heat Mode</t>
  </si>
  <si>
    <t>Sleep Mode</t>
  </si>
  <si>
    <t>Eco Mode</t>
  </si>
  <si>
    <t>M2</t>
  </si>
  <si>
    <t>M3</t>
  </si>
  <si>
    <t>M4</t>
  </si>
  <si>
    <t>M5</t>
  </si>
  <si>
    <t>M6</t>
  </si>
  <si>
    <t>M7</t>
  </si>
  <si>
    <t>M8</t>
  </si>
  <si>
    <t>M9</t>
  </si>
  <si>
    <t>CI1832A223GM1</t>
  </si>
  <si>
    <t>CI2433A323G3</t>
  </si>
  <si>
    <t>CI1852D223GN1</t>
  </si>
  <si>
    <t>CI1831G223GM1</t>
  </si>
  <si>
    <t>CI1853E223GN1</t>
  </si>
  <si>
    <t>CI2432D323G3</t>
  </si>
  <si>
    <t>CI2431G323G3</t>
  </si>
  <si>
    <t>CI1332A113GN1</t>
  </si>
  <si>
    <t>CI2433A323G4</t>
  </si>
  <si>
    <t>CI2432D323G4</t>
  </si>
  <si>
    <t>CI2431G323G4</t>
  </si>
  <si>
    <t>CI2433F323G4</t>
  </si>
  <si>
    <t>CI1451G213GN1</t>
  </si>
  <si>
    <t>CI1453F213GN1</t>
  </si>
  <si>
    <t>HI1831G223GM1</t>
  </si>
  <si>
    <t>CI2052A323GN1</t>
  </si>
  <si>
    <t>CI2053A323GN1</t>
  </si>
  <si>
    <t>CI2051G323GN1</t>
  </si>
  <si>
    <t>CI2053F323GN1</t>
  </si>
  <si>
    <t>CI1852A223GN1</t>
  </si>
  <si>
    <t>CI1832A223GN1</t>
  </si>
  <si>
    <t>CI1833A223GM1</t>
  </si>
  <si>
    <t>CI1832D223GN1</t>
  </si>
  <si>
    <t>CI1831G223GN1</t>
  </si>
  <si>
    <t>CI1833F223GM1</t>
  </si>
  <si>
    <t>CI1333A113GN1</t>
  </si>
  <si>
    <t>CI1332D113GN1</t>
  </si>
  <si>
    <t>CI1333E113GN1</t>
  </si>
  <si>
    <t>IAHI24X23G3C</t>
  </si>
  <si>
    <t>C12432A323G4</t>
  </si>
  <si>
    <t>CI1833E223GN1</t>
  </si>
  <si>
    <t>Automotive Grade Coating on ODU</t>
  </si>
  <si>
    <t>ATF3</t>
  </si>
  <si>
    <t>ATF4</t>
  </si>
  <si>
    <t>Activated-carbon Filter</t>
  </si>
  <si>
    <t>PM 0.3 Filter</t>
  </si>
  <si>
    <t>7 Stage Air Treatment</t>
  </si>
  <si>
    <t>ATF5</t>
  </si>
  <si>
    <t>ATF6</t>
  </si>
  <si>
    <t>Anti-bacterial Filter</t>
  </si>
  <si>
    <t>Catechin Filter</t>
  </si>
  <si>
    <t>ATF7</t>
  </si>
  <si>
    <t>Vitamin-C Diffuser</t>
  </si>
  <si>
    <t>KF12</t>
  </si>
  <si>
    <t>Smart AC</t>
  </si>
  <si>
    <t>Executive ZXS</t>
  </si>
  <si>
    <t>Executive ZXB</t>
  </si>
  <si>
    <t>Executive ZXV</t>
  </si>
  <si>
    <t>Executive ZXM</t>
  </si>
  <si>
    <t>WD</t>
  </si>
  <si>
    <t>8.5/6.5/2.5</t>
  </si>
  <si>
    <t>WPO7</t>
  </si>
  <si>
    <t>Aroma</t>
  </si>
  <si>
    <t>Anti Alergen</t>
  </si>
  <si>
    <t>Express 15</t>
  </si>
  <si>
    <t>WPO8</t>
  </si>
  <si>
    <t>Multiple Drying Options</t>
  </si>
  <si>
    <t>SUS</t>
  </si>
  <si>
    <t>IFBDC-2324IKG</t>
  </si>
  <si>
    <t>RF-S</t>
  </si>
  <si>
    <t>Converti Cool</t>
  </si>
  <si>
    <t>Copper Boost</t>
  </si>
  <si>
    <t>Quadra Crisper Cober</t>
  </si>
  <si>
    <t>Metal Ice Tray</t>
  </si>
  <si>
    <t>Egg Tray</t>
  </si>
  <si>
    <t>Toughened Glass Shelves - 3</t>
  </si>
  <si>
    <t>White LED Bulb</t>
  </si>
  <si>
    <t>Smart Camera</t>
  </si>
  <si>
    <t>XL Bottle Bin</t>
  </si>
  <si>
    <t>TS1</t>
  </si>
  <si>
    <t>TS2</t>
  </si>
  <si>
    <t>Fixed Speed Compressor</t>
  </si>
  <si>
    <t>R600A Refrigerant</t>
  </si>
  <si>
    <t>IFBDC-2235IBB</t>
  </si>
  <si>
    <t>IFBDC-2235IRP</t>
  </si>
  <si>
    <t>IFBDC-2235IBP</t>
  </si>
  <si>
    <t>IFBDC-2325IRP</t>
  </si>
  <si>
    <t>IFBDC-2325IBP</t>
  </si>
  <si>
    <t>IFBDC-2132FKG</t>
  </si>
  <si>
    <t>IFBDC-2233FKG</t>
  </si>
  <si>
    <t>IFBDC-2235IKG</t>
  </si>
  <si>
    <t>IFBDC - 2325ILG</t>
  </si>
  <si>
    <t>IFBDC - 2324IRG</t>
  </si>
  <si>
    <t>IFBDC - 2235IRG</t>
  </si>
  <si>
    <t>IFBDC - 2233FFG</t>
  </si>
  <si>
    <t>IFBDC - 2233FLG</t>
  </si>
  <si>
    <t>IFBDC - 2133FFG</t>
  </si>
  <si>
    <t>IFBDC - 2133FLG</t>
  </si>
  <si>
    <t>IFBDC - 2132FLG</t>
  </si>
  <si>
    <t>IFBDC-2483FBS</t>
  </si>
  <si>
    <t>IFBDC-2324IKSU</t>
  </si>
  <si>
    <t>IFBDC-2235IRB</t>
  </si>
  <si>
    <t>IFBDC-2235IKS</t>
  </si>
  <si>
    <t>IFBDC-2325IRB</t>
  </si>
  <si>
    <t>IFBDC-2132FCS</t>
  </si>
  <si>
    <t>IFBDC-2132FSS</t>
  </si>
  <si>
    <t>IFBDC-2232FSS</t>
  </si>
  <si>
    <t>IFBDC-2132FBF</t>
  </si>
  <si>
    <t>IFBDC-2132FRF</t>
  </si>
  <si>
    <t>IFBDC-2322FBS</t>
  </si>
  <si>
    <t>IFBDC-2233FBB</t>
  </si>
  <si>
    <t>IFBDC-2232FAS</t>
  </si>
  <si>
    <t>IFBDC-2325IGS</t>
  </si>
  <si>
    <t>IFBDC-2231FSS</t>
  </si>
  <si>
    <t>IFBDC-2131FRF</t>
  </si>
  <si>
    <t>IFBDC-2131FBF</t>
  </si>
  <si>
    <t>IFBDC-2131FSS</t>
  </si>
  <si>
    <t>IFBDC-2233FBS</t>
  </si>
  <si>
    <t>IFBDC-2133FRH</t>
  </si>
  <si>
    <t>IFBDC-2133FBH</t>
  </si>
  <si>
    <t>IFBDC-2483FRH</t>
  </si>
  <si>
    <t>IFBDC-2483FBH</t>
  </si>
  <si>
    <t>IFBDC-2233FRB</t>
  </si>
  <si>
    <t>IFBDC-2324IGS</t>
  </si>
  <si>
    <t>IFBDC-2324IKS</t>
  </si>
  <si>
    <t>IFBDC-2774IGS</t>
  </si>
  <si>
    <t>IFBDC-2324IRV</t>
  </si>
  <si>
    <t>IFBDC-2324IBV</t>
  </si>
  <si>
    <t>IFBDC-2774IRV</t>
  </si>
  <si>
    <t>IFBDC-2133FBS</t>
  </si>
  <si>
    <t>Blue</t>
  </si>
  <si>
    <t>Lock &amp; Key</t>
  </si>
  <si>
    <t>Inverter Compressor</t>
  </si>
  <si>
    <t>Toughened Glass Shelves - 4</t>
  </si>
  <si>
    <t>Toughened Glass Shelves - 2</t>
  </si>
  <si>
    <t>Digital Display</t>
  </si>
  <si>
    <t>Non-Inverter Compressor</t>
  </si>
  <si>
    <t>Scarlet</t>
  </si>
  <si>
    <t>IFBFF-2902FKG</t>
  </si>
  <si>
    <t>IFBFF-3362IKG</t>
  </si>
  <si>
    <t>IFBFF-2902ISG</t>
  </si>
  <si>
    <t>IFBFF-3362IRG</t>
  </si>
  <si>
    <t>IFBFF-3363IGSU</t>
  </si>
  <si>
    <t>IFBFF-2913IBSU</t>
  </si>
  <si>
    <t>IFBFF-3362ISG</t>
  </si>
  <si>
    <t>IFBFF-3152ISG</t>
  </si>
  <si>
    <t>IFBFF-3152IRG</t>
  </si>
  <si>
    <t>IFBFF-2902IRG</t>
  </si>
  <si>
    <t>IFBFF-2902FSG</t>
  </si>
  <si>
    <t>IFBFF-3363IMSU</t>
  </si>
  <si>
    <t>IFBFF-3153IGSU</t>
  </si>
  <si>
    <t>IFBFF-2911FBS</t>
  </si>
  <si>
    <t>IFBFF-2902FBS</t>
  </si>
  <si>
    <t>IFBFF-2902FKS</t>
  </si>
  <si>
    <t>IFBFF-2911FKS</t>
  </si>
  <si>
    <t>IFBFF-2902FBB</t>
  </si>
  <si>
    <t>IFBFF-3152FBS</t>
  </si>
  <si>
    <t>IFBFF-2902FRB</t>
  </si>
  <si>
    <t>IFBFF-2902IGS</t>
  </si>
  <si>
    <t>IFBFF-3152IKS</t>
  </si>
  <si>
    <t>IFBFF-3362IBS</t>
  </si>
  <si>
    <t>RF-D</t>
  </si>
  <si>
    <t>Surround Cooling</t>
  </si>
  <si>
    <t>Ice Twister</t>
  </si>
  <si>
    <t>Door Alarm</t>
  </si>
  <si>
    <t>7in1 Convertible</t>
  </si>
  <si>
    <t>Active Deodoriser</t>
  </si>
  <si>
    <t>Smart Deodoriser</t>
  </si>
  <si>
    <t>Steel</t>
  </si>
  <si>
    <t>TLM</t>
  </si>
  <si>
    <t>Inox</t>
  </si>
  <si>
    <t>Heater</t>
  </si>
  <si>
    <t>Auto Tub Clean</t>
  </si>
  <si>
    <t>Bi-axial Movement</t>
  </si>
  <si>
    <t>Smart Sense</t>
  </si>
  <si>
    <t>Machine Mobility</t>
  </si>
  <si>
    <t>Soft Close Door</t>
  </si>
  <si>
    <t>Program Memory Backup</t>
  </si>
  <si>
    <t>Machine Level Indicator</t>
  </si>
  <si>
    <t>Lint Tower Filter</t>
  </si>
  <si>
    <t>Triadic Pulsator</t>
  </si>
  <si>
    <t>Drum Lamp</t>
  </si>
  <si>
    <t>Water Recirculation Pump</t>
  </si>
  <si>
    <t>Delay Start</t>
  </si>
  <si>
    <t>Spray Rinse</t>
  </si>
  <si>
    <t>OF4</t>
  </si>
  <si>
    <t>OF5</t>
  </si>
  <si>
    <t>OF6</t>
  </si>
  <si>
    <t>TL - SIBS 10 kg Aqua</t>
  </si>
  <si>
    <t>TL - SLBS 9 kg Aqua</t>
  </si>
  <si>
    <t>TL - SPLS 8 kg Aqua</t>
  </si>
  <si>
    <t>TL - SBRS 8 kg Aqua</t>
  </si>
  <si>
    <t>TL - RPSS 7 kg Aqua</t>
  </si>
  <si>
    <t>TL - REGS 7 kg Aqua</t>
  </si>
  <si>
    <t>TL - SPGS 7 kg Aqua</t>
  </si>
  <si>
    <t>TL - RPSS 6.5 kg Aqua</t>
  </si>
  <si>
    <t>TL - RES 6.5 kg Aqua</t>
  </si>
  <si>
    <t>TL R2WRS 6.5 Kg Aqua</t>
  </si>
  <si>
    <t>TL - R3SG 8 Kg Aqua</t>
  </si>
  <si>
    <t>TL - RES 7 kg Aqua</t>
  </si>
  <si>
    <t>TL - RGS 7 kg Aqua</t>
  </si>
  <si>
    <t>TL - REG 7 kg Aqua</t>
  </si>
  <si>
    <t>TL - REG 6.5 kg Aqua</t>
  </si>
  <si>
    <t>TL - R2BRS 6.5 Kg Aqua</t>
  </si>
  <si>
    <t>TL - S4BLS 10 kg Aqua</t>
  </si>
  <si>
    <t>TL - R1BRS 7 Kg Aqua</t>
  </si>
  <si>
    <t>TL - R2BR 7 kg Aqua</t>
  </si>
  <si>
    <t>TL - S4RBS 9 kg Aqua</t>
  </si>
  <si>
    <t>TL - S1WRS 8 Kg Aqua</t>
  </si>
  <si>
    <t>TL - RSS 6.5 kg Aqua</t>
  </si>
  <si>
    <t>TL - R1WRS 7 kg Aqua</t>
  </si>
  <si>
    <t>TL - S4STS 9 kg Aqua</t>
  </si>
  <si>
    <t>TL - REWS 6.5 kg Aqua</t>
  </si>
  <si>
    <t>TL - REW 6.5 kg Aqua</t>
  </si>
  <si>
    <t>TL - SBRH 8 kg Aqua</t>
  </si>
  <si>
    <t>TL - REGS 6.5 kg Aqua</t>
  </si>
  <si>
    <t>TL - RBR 6.5 kg Aqua</t>
  </si>
  <si>
    <t>TL - S4RBS 10 kg Aqua</t>
  </si>
  <si>
    <t>TL - R1WH 7 Kg Aqua</t>
  </si>
  <si>
    <t>TL - SDS 7 kg Aqua</t>
  </si>
  <si>
    <t>TL - SIBS 11 kg Aqua</t>
  </si>
  <si>
    <t>TL - SDG 6.5 kg Aqua</t>
  </si>
  <si>
    <t>TL - SDSS 8 kg Aqua</t>
  </si>
  <si>
    <t>TL - S4INS 12 kg Aqua</t>
  </si>
  <si>
    <t>TL - SSBL 9 kg Aqua</t>
  </si>
  <si>
    <t>TL - S4RBS 12 kg Aqua</t>
  </si>
  <si>
    <t>TL - S1WRS 7 Kg Aqua</t>
  </si>
  <si>
    <t>TL - SDSH 8 kg Aqua</t>
  </si>
  <si>
    <t>TL - RESS 7 kg Aqua</t>
  </si>
  <si>
    <t>TL - SPSS 6.5 kg Aqua</t>
  </si>
  <si>
    <t>TL R1WRS 6.5 Kg Aqua</t>
  </si>
  <si>
    <t>TL - R2BRS 8 kg Aqua</t>
  </si>
  <si>
    <t>OF7</t>
  </si>
  <si>
    <t>Brown</t>
  </si>
  <si>
    <t>Auto Spa Therapy</t>
  </si>
  <si>
    <t>https://www.ifbappliances.com/tl-slbs-9-kg-aqua</t>
  </si>
  <si>
    <t>https://www.ifbappliances.com/tl-spls-8-kg-aqua</t>
  </si>
  <si>
    <t>https://www.ifbappliances.com/tl-sbrs-8-kg-aqua</t>
  </si>
  <si>
    <t>https://www.ifbappliances.com/tl-rpss-7-kg-aqua</t>
  </si>
  <si>
    <t>https://www.ifbappliances.com/tl-regs-7kg</t>
  </si>
  <si>
    <t>https://www.ifbappliances.com/tl-spgs-7-kg-aqua</t>
  </si>
  <si>
    <t>https://www.ifbappliances.com/tl-rpss-6-5-kg-aqua</t>
  </si>
  <si>
    <t>https://www.ifbappliances.com/tl-res</t>
  </si>
  <si>
    <t>https://www.ifbappliances.com/tl-r2wrs-6-5-kg-aqua</t>
  </si>
  <si>
    <t>https://www.ifbappliances.com/tl-r3sg-8-kg-aqua</t>
  </si>
  <si>
    <t>https://www.ifbappliances.com/tl-res-7-kg-aqua</t>
  </si>
  <si>
    <t>https://www.ifbappliances.com/tl-rgs-7kg-aqua-720-rpm</t>
  </si>
  <si>
    <t>https://www.ifbappliances.com/tl-reg-7-kg-aqua</t>
  </si>
  <si>
    <t>https://www.ifbappliances.com/tl-reg-6-5kg-aqua-720-rpm</t>
  </si>
  <si>
    <t>https://www.ifbappliances.com/tl-r2brs-6-5-kg-aqua</t>
  </si>
  <si>
    <t>https://www.ifbappliances.com/tl-s4bls-10-kg-aqua</t>
  </si>
  <si>
    <t>https://www.ifbappliances.com/tl-r1brs-7-kg-aqua</t>
  </si>
  <si>
    <t>https://www.ifbappliances.com/tl-r2br-7-kg-aqua</t>
  </si>
  <si>
    <t>https://www.ifbappliances.com/tl-s4rbs-9-kg-aqua</t>
  </si>
  <si>
    <t>https://www.ifbappliances.com/tl-s1wrs-8-kg-aqua</t>
  </si>
  <si>
    <t>https://www.ifbappliances.com/tl-rss-6-5kg-aqua-720-rpm</t>
  </si>
  <si>
    <t>https://www.ifbappliances.com/tl-r1wrs-7-kg-aqua</t>
  </si>
  <si>
    <t>https://www.ifbappliances.com/tl-s4sts-9-kg-aqua</t>
  </si>
  <si>
    <t>https://www.ifbappliances.com/tl-rews</t>
  </si>
  <si>
    <t>https://www.ifbappliances.com/tl-rew</t>
  </si>
  <si>
    <t>https://www.ifbappliances.com/tl-sbrh-8-0-kg-aqua-l-720-rpm</t>
  </si>
  <si>
    <t>https://www.ifbappliances.com/tl-regs</t>
  </si>
  <si>
    <t>https://www.ifbappliances.com/tl-rbr</t>
  </si>
  <si>
    <t>https://www.ifbappliances.com/tl-s4rbs-10-kg-aqua</t>
  </si>
  <si>
    <t>https://www.ifbappliances.com/tl-r1wh-7-0-kg-aqua</t>
  </si>
  <si>
    <t>https://www.ifbappliances.com/tl-sds-7kg-aqua-720-rpm</t>
  </si>
  <si>
    <t>https://www.ifbappliances.com/tl-sibs-11kg</t>
  </si>
  <si>
    <t>https://www.ifbappliances.com/tl-sdg-6-5kg-aqua-720-rpm</t>
  </si>
  <si>
    <t>https://www.ifbappliances.com/tl-sdss-8-kg-aqua</t>
  </si>
  <si>
    <t>https://www.ifbappliances.com/tl-s4ins-12-kg-aqua</t>
  </si>
  <si>
    <t>https://www.ifbappliances.com/tl-ssbl-9-kg</t>
  </si>
  <si>
    <t>https://www.ifbappliances.com/tl-s4rbs-12-kg-aqua</t>
  </si>
  <si>
    <t>https://www.ifbappliances.com/tl-s1wrs-7-kg-aqua</t>
  </si>
  <si>
    <t>https://www.ifbappliances.com/tl-sdsh-8-kg-aqua</t>
  </si>
  <si>
    <t>https://www.ifbappliances.com/tl-ress-7-kg-aqua</t>
  </si>
  <si>
    <t>https://www.ifbappliances.com/tl-spss-6-5-kg-aqua</t>
  </si>
  <si>
    <t>https://www.ifbappliances.com/tl-r1wrs-6-5-kg-aqua</t>
  </si>
  <si>
    <t>https://www.ifbappliances.com/tl-r2brs-8-kg-aqua</t>
  </si>
  <si>
    <t>https://www.ifbappliances.com/turbodry-550-5-5kg-l-55rpm</t>
  </si>
  <si>
    <t>https://www.ifbappliances.com/turbo-dry-mx</t>
  </si>
  <si>
    <t>https://www.ifbappliances.com/turbo-dry-lx</t>
  </si>
  <si>
    <t>https://www.ifbappliances.com/turbo-dry-rx</t>
  </si>
  <si>
    <t>https://www.ifbappliances.com/turbodry-ex-5-5kg-l-55rpm</t>
  </si>
  <si>
    <t>https://www.ifbappliances.com/20pm-mec2b</t>
  </si>
  <si>
    <t>https://www.ifbappliances.com/25pm2s-25ltrs-l-solo</t>
  </si>
  <si>
    <t>https://www.ifbappliances.com/24pm2b</t>
  </si>
  <si>
    <t>https://www.ifbappliances.com/20pm-mec2</t>
  </si>
  <si>
    <t>https://www.ifbappliances.com/20pg4s</t>
  </si>
  <si>
    <t>https://www.ifbappliances.com/23sc3</t>
  </si>
  <si>
    <t>https://www.ifbappliances.com/25bc3</t>
  </si>
  <si>
    <t>https://www.ifbappliances.com/30brc2</t>
  </si>
  <si>
    <t>https://www.ifbappliances.com/23bc4</t>
  </si>
  <si>
    <t>https://www.ifbappliances.com/25sc4-163</t>
  </si>
  <si>
    <t>https://www.ifbappliances.com/30frc2</t>
  </si>
  <si>
    <t>https://www.ifbappliances.com/20bc4</t>
  </si>
  <si>
    <t>https://www.ifbappliances.com/25bc4</t>
  </si>
  <si>
    <t>https://www.ifbappliances.com/28bc5</t>
  </si>
  <si>
    <t>https://www.ifbappliances.com/30brc3</t>
  </si>
  <si>
    <t>https://www.ifbappliances.com/30sc4</t>
  </si>
  <si>
    <t>https://www.ifbappliances.com/20bc5</t>
  </si>
  <si>
    <t>https://www.ifbappliances.com/23bc5</t>
  </si>
  <si>
    <t>https://www.ifbappliances.com/30bc5-30-ltrs-l-convection</t>
  </si>
  <si>
    <t>https://www.ifbappliances.com/25dgbc2-25-ltrs</t>
  </si>
  <si>
    <t>https://www.ifbappliances.com/21sc5</t>
  </si>
  <si>
    <t>https://www.ifbappliances.com/20sc2</t>
  </si>
  <si>
    <t>https://www.ifbappliances.com/neptune-vx16</t>
  </si>
  <si>
    <t>https://www.ifbappliances.com/neptune-vx2-plus</t>
  </si>
  <si>
    <t>https://www.ifbappliances.com/neptune-sx2</t>
  </si>
  <si>
    <t>https://www.ifbappliances.com/neptune-bi2</t>
  </si>
  <si>
    <t>https://www.ifbappliances.com/ivs-7005-lr</t>
  </si>
  <si>
    <t>https://www.ifbappliances.com/ivs-9505-lr</t>
  </si>
  <si>
    <t>https://www.ifbappliances.com/ivs-10005-r</t>
  </si>
  <si>
    <t>https://www.ifbappliances.com/ivs-13005-r</t>
  </si>
  <si>
    <t>https://www.ifbappliances.com/ivs-1455-wmt</t>
  </si>
  <si>
    <t>https://www.ifbappliances.com/ivs-1705-wmt</t>
  </si>
  <si>
    <t>https://www.ifbappliances.com/ivs-1405-wmt</t>
  </si>
  <si>
    <t>https://www.ifbappliances.com/ivs-1605-wmt</t>
  </si>
  <si>
    <t>https://www.ifbappliances.com/ivs-515-wmt</t>
  </si>
  <si>
    <t>https://www.ifbappliances.com/ivs-410-la</t>
  </si>
  <si>
    <t>https://www.ifbappliances.com/ivs-405-dla</t>
  </si>
  <si>
    <t>https://www.ifbappliances.com/ivs-405-sla</t>
  </si>
  <si>
    <t>https://www.ifbappliances.com/ivs-510050-ml-1</t>
  </si>
  <si>
    <t>https://www.ifbappliances.com/ivs-1010050-ml</t>
  </si>
  <si>
    <t>https://www.ifbappliances.com/ivs-510050-ml</t>
  </si>
  <si>
    <t>https://www.ifbappliances.com/ivs955a</t>
  </si>
  <si>
    <t>https://www.ifbappliances.com/ivs1455a</t>
  </si>
  <si>
    <t>https://www.ifbappliances.com/ivs1705a</t>
  </si>
  <si>
    <t>https://www.ifbappliances.com/ivs1805a</t>
  </si>
  <si>
    <t>https://www.ifbappliances.com/ivs954a</t>
  </si>
  <si>
    <t>https://www.ifbappliances.com/ivs1454a</t>
  </si>
  <si>
    <t>https://www.ifbappliances.com/ivs1704a</t>
  </si>
  <si>
    <t>https://www.ifbappliances.com/ivs1804a</t>
  </si>
  <si>
    <t>https://www.ifbappliances.com/ci1832a223gm1</t>
  </si>
  <si>
    <t>https://www.ifbappliances.com/ci2433a323g3</t>
  </si>
  <si>
    <t>https://www.ifbappliances.com/ci1852d223gn1</t>
  </si>
  <si>
    <t>https://www.ifbappliances.com/ci1831g223gm1</t>
  </si>
  <si>
    <t>https://www.ifbappliances.com/ci1853e223gn1</t>
  </si>
  <si>
    <t>https://www.ifbappliances.com/ci2432d323g3</t>
  </si>
  <si>
    <t>https://www.ifbappliances.com/ci2431g323g3</t>
  </si>
  <si>
    <t>https://www.ifbappliances.com/ci1332a113gn1</t>
  </si>
  <si>
    <t>https://www.ifbappliances.com/ci2433a323g4</t>
  </si>
  <si>
    <t>https://www.ifbappliances.com/ci2432d323g4</t>
  </si>
  <si>
    <t>https://www.ifbappliances.com/ci2431g323g4</t>
  </si>
  <si>
    <t>https://www.ifbappliances.com/ci2433f323g4</t>
  </si>
  <si>
    <t>https://www.ifbappliances.com/ci1451g213gn1</t>
  </si>
  <si>
    <t>https://www.ifbappliances.com/ci1453f213gn1</t>
  </si>
  <si>
    <t>https://www.ifbappliances.com/hi1831g223gm1</t>
  </si>
  <si>
    <t>https://www.ifbappliances.com/ci2052a323gn1</t>
  </si>
  <si>
    <t>https://www.ifbappliances.com/ci2053a323gn1</t>
  </si>
  <si>
    <t>https://www.ifbappliances.com/ci2051g323gn1</t>
  </si>
  <si>
    <t>https://www.ifbappliances.com/ci2053f323gn1</t>
  </si>
  <si>
    <t>https://www.ifbappliances.com/ci1852a223gn1</t>
  </si>
  <si>
    <t>https://www.ifbappliances.com/ci1832a223gn1</t>
  </si>
  <si>
    <t>https://www.ifbappliances.com/ci1833a223gm1</t>
  </si>
  <si>
    <t>https://www.ifbappliances.com/ci1832d223gn1</t>
  </si>
  <si>
    <t>https://www.ifbappliances.com/ci1831g223gn1</t>
  </si>
  <si>
    <t>https://www.ifbappliances.com/ci1833f223gm1</t>
  </si>
  <si>
    <t>https://www.ifbappliances.com/ci1333a113gn1</t>
  </si>
  <si>
    <t>https://www.ifbappliances.com/ci1332d113gn1</t>
  </si>
  <si>
    <t>https://www.ifbappliances.com/ci1333e113gn1</t>
  </si>
  <si>
    <t>https://www.ifbappliances.com/iahi24x23g3c</t>
  </si>
  <si>
    <t>https://www.ifbappliances.com/c12432a323g4</t>
  </si>
  <si>
    <t>https://www.ifbappliances.com/ci1833e223gn1</t>
  </si>
  <si>
    <t>https://www.ifbappliances.com/executive-zxs-8-5-6-5-2-5-1400rpm</t>
  </si>
  <si>
    <t>https://www.ifbappliances.com/executive-zxb</t>
  </si>
  <si>
    <t>https://www.ifbappliances.com/executive-zxv</t>
  </si>
  <si>
    <t>https://www.ifbappliances.com/executive-zxm-8-5-6-5-2-5-1400rpm</t>
  </si>
  <si>
    <t>https://www.ifbappliances.com/ifbdc-2235ibb</t>
  </si>
  <si>
    <t>https://www.ifbappliances.com/ifbdc-2235irp</t>
  </si>
  <si>
    <t>https://www.ifbappliances.com/ifbdc-2235ibp</t>
  </si>
  <si>
    <t>https://www.ifbappliances.com/ifbdc-2325irp</t>
  </si>
  <si>
    <t>https://www.ifbappliances.com/ifbdc-2325ibp</t>
  </si>
  <si>
    <t>https://www.ifbappliances.com/ifbdc-2132fkg</t>
  </si>
  <si>
    <t>https://www.ifbappliances.com/ifbdc-2233fkg</t>
  </si>
  <si>
    <t>https://www.ifbappliances.com/ifbdc-2235ikg</t>
  </si>
  <si>
    <t>https://www.ifbappliances.com/ifbdc-2324ikg</t>
  </si>
  <si>
    <t>https://www.ifbappliances.com/ifbdc-2325ilg</t>
  </si>
  <si>
    <t>https://www.ifbappliances.com/ifbdc-2324irg</t>
  </si>
  <si>
    <t>https://www.ifbappliances.com/ifbdc-2235irg</t>
  </si>
  <si>
    <t>https://www.ifbappliances.com/ifbdc-2233ffg</t>
  </si>
  <si>
    <t>https://www.ifbappliances.com/ifbdc-2233flg</t>
  </si>
  <si>
    <t>https://www.ifbappliances.com/ifbdc-2133ffg</t>
  </si>
  <si>
    <t>https://www.ifbappliances.com/ifbdc-2133flg</t>
  </si>
  <si>
    <t>https://www.ifbappliances.com/ifbdc-2132flg</t>
  </si>
  <si>
    <t>https://www.ifbappliances.com/ifbdc-2483fbs</t>
  </si>
  <si>
    <t>https://www.ifbappliances.com/ifbdc-2324iksu</t>
  </si>
  <si>
    <t>https://www.ifbappliances.com/ifbdc-2235irb</t>
  </si>
  <si>
    <t>https://www.ifbappliances.com/ifbdc-2235iks</t>
  </si>
  <si>
    <t>https://www.ifbappliances.com/ifbdc-2325irb</t>
  </si>
  <si>
    <t>https://www.ifbappliances.com/ifbdc-2132fcs</t>
  </si>
  <si>
    <t>https://www.ifbappliances.com/ifbdc-2132fss</t>
  </si>
  <si>
    <t>https://www.ifbappliances.com/ifbdc-2232fss</t>
  </si>
  <si>
    <t>https://www.ifbappliances.com/ifbdc-2132fbf</t>
  </si>
  <si>
    <t>https://www.ifbappliances.com/ifbdc-2132frf</t>
  </si>
  <si>
    <t>https://www.ifbappliances.com/ifbdc-2322fbs</t>
  </si>
  <si>
    <t>https://www.ifbappliances.com/ifbdc-2233fbb</t>
  </si>
  <si>
    <t>https://www.ifbappliances.com/ifbdc-2232fas</t>
  </si>
  <si>
    <t>https://www.ifbappliances.com/ifbdc-2325igs</t>
  </si>
  <si>
    <t>https://www.ifbappliances.com/ifbdc-2231fss</t>
  </si>
  <si>
    <t>https://www.ifbappliances.com/ifbdc-2131frf</t>
  </si>
  <si>
    <t>https://www.ifbappliances.com/ifbdc-2131fbf</t>
  </si>
  <si>
    <t>https://www.ifbappliances.com/ifbdc-2131fss</t>
  </si>
  <si>
    <t>https://www.ifbappliances.com/ifbdc-2233fbs</t>
  </si>
  <si>
    <t>https://www.ifbappliances.com/ifbdc-2133frh</t>
  </si>
  <si>
    <t>https://www.ifbappliances.com/ifbdc-2133fbh</t>
  </si>
  <si>
    <t>https://www.ifbappliances.com/ifbdc-2483frh</t>
  </si>
  <si>
    <t>https://www.ifbappliances.com/ifbdc-2483fbh</t>
  </si>
  <si>
    <t>https://www.ifbappliances.com/ifbdc-2233frb</t>
  </si>
  <si>
    <t>https://www.ifbappliances.com/ifbdc-2324igs</t>
  </si>
  <si>
    <t>https://www.ifbappliances.com/ifbdc-2324iks</t>
  </si>
  <si>
    <t>https://www.ifbappliances.com/ifbdc-2774igs</t>
  </si>
  <si>
    <t>https://www.ifbappliances.com/ifbdc-2324irv</t>
  </si>
  <si>
    <t>https://www.ifbappliances.com/ifbdc-2324ibv</t>
  </si>
  <si>
    <t>https://www.ifbappliances.com/ifbdc-2774irv</t>
  </si>
  <si>
    <t>https://www.ifbappliances.com/ifbdc-2133fbs</t>
  </si>
  <si>
    <t>https://www.ifbappliances.com/ifbff-2902fkg</t>
  </si>
  <si>
    <t>https://www.ifbappliances.com/ifbff-3362ikg</t>
  </si>
  <si>
    <t>https://www.ifbappliances.com/ifbff-2902isg</t>
  </si>
  <si>
    <t>https://www.ifbappliances.com/ifbff-3362irg</t>
  </si>
  <si>
    <t>https://www.ifbappliances.com/ifbff-3363igsu</t>
  </si>
  <si>
    <t>https://www.ifbappliances.com/ifbff-2913ibsu</t>
  </si>
  <si>
    <t>https://www.ifbappliances.com/ifbff-3362isg</t>
  </si>
  <si>
    <t>https://www.ifbappliances.com/ifbff-3152isg</t>
  </si>
  <si>
    <t>https://www.ifbappliances.com/ifbff-3152irg</t>
  </si>
  <si>
    <t>https://www.ifbappliances.com/ifbff-2902irg</t>
  </si>
  <si>
    <t>https://www.ifbappliances.com/ifbff-2902fsg</t>
  </si>
  <si>
    <t>https://www.ifbappliances.com/ifbff-3363imsu</t>
  </si>
  <si>
    <t>https://www.ifbappliances.com/ifbff-3153igsu</t>
  </si>
  <si>
    <t>https://www.ifbappliances.com/ifbff-2911fbs</t>
  </si>
  <si>
    <t>https://www.ifbappliances.com/ifbff-2902fbs</t>
  </si>
  <si>
    <t>https://www.ifbappliances.com/ifbff-2902fks</t>
  </si>
  <si>
    <t>https://www.ifbappliances.com/ifbff-2911fks</t>
  </si>
  <si>
    <t>https://www.ifbappliances.com/ifbff-2902fbb</t>
  </si>
  <si>
    <t>https://www.ifbappliances.com/ifbff-3152fbs</t>
  </si>
  <si>
    <t>https://www.ifbappliances.com/ifbff-2902frb</t>
  </si>
  <si>
    <t>https://www.ifbappliances.com/ifbff-2902igs</t>
  </si>
  <si>
    <t>https://www.ifbappliances.com/ifbff-3152iks</t>
  </si>
  <si>
    <t>https://www.ifbappliances.com/ifbff-3362ibs</t>
  </si>
  <si>
    <t>Product_Code</t>
  </si>
  <si>
    <t>SL</t>
  </si>
  <si>
    <t>Price_Old</t>
  </si>
  <si>
    <t>Old Name, Cat, Price</t>
  </si>
  <si>
    <t>Rated</t>
  </si>
  <si>
    <t>WP8</t>
  </si>
  <si>
    <t>A+</t>
  </si>
  <si>
    <t>A++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</si>
</sst>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1" fontId="0" fillId="0" borderId="0" xfId="0" applyNumberFormat="1"/>
    <xf numFmtId="0" fontId="1" fillId="2" borderId="0" xfId="1" applyFill="1"/>
    <xf numFmtId="0" fontId="2" fillId="3" borderId="0" xfId="0" applyFont="1" applyFill="1"/>
    <xf numFmtId="0" fontId="0" fillId="4" borderId="0" xfId="0" applyFill="1"/>
    <xf numFmtId="1" fontId="0" fillId="0" borderId="1" xfId="0" applyNumberFormat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1" fontId="4" fillId="0" borderId="0" xfId="1" applyNumberFormat="1" applyFont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32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ElixirAI\PredictiveAnalytics\Product%20MRP%20and%20Basic%20Rate%20FINAL1.xlsx" TargetMode="External"/><Relationship Id="rId1" Type="http://schemas.openxmlformats.org/officeDocument/2006/relationships/externalLinkPath" Target="/Work/ElixirAI/PredictiveAnalytics/Product%20MRP%20and%20Basic%20Rate%20FINAL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ElixirAI\PredictiveAnalytics\Map_Pune\Test\Budget%20Range\Rated_IFB_Models_Master_List.xlsx" TargetMode="External"/><Relationship Id="rId1" Type="http://schemas.openxmlformats.org/officeDocument/2006/relationships/externalLinkPath" Target="Rated_IFB_Models_Master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Sheet1"/>
      <sheetName val="Sheet3"/>
      <sheetName val="Sheet2"/>
    </sheetNames>
    <sheetDataSet>
      <sheetData sheetId="0" refreshError="1"/>
      <sheetData sheetId="1">
        <row r="2">
          <cell r="A2">
            <v>8903287017001</v>
          </cell>
          <cell r="B2" t="str">
            <v>AIR CONDITIONER 1.5 TON 5 STAR PFC</v>
          </cell>
          <cell r="C2" t="str">
            <v>AC</v>
          </cell>
          <cell r="D2" t="str">
            <v>AC</v>
          </cell>
          <cell r="E2">
            <v>33000</v>
          </cell>
        </row>
        <row r="3">
          <cell r="A3">
            <v>8903287017025</v>
          </cell>
          <cell r="B3" t="str">
            <v>AIR CONDITIONER 1.5 DC INVERTER</v>
          </cell>
          <cell r="C3" t="str">
            <v>AC</v>
          </cell>
          <cell r="D3" t="str">
            <v>AC</v>
          </cell>
          <cell r="E3">
            <v>48000</v>
          </cell>
        </row>
        <row r="4">
          <cell r="A4">
            <v>8903287017032</v>
          </cell>
          <cell r="B4" t="str">
            <v>AIR CONDITIONER  1.0 T  IACS12AK3TC</v>
          </cell>
          <cell r="C4" t="str">
            <v>AC</v>
          </cell>
          <cell r="D4" t="str">
            <v>AC</v>
          </cell>
          <cell r="E4">
            <v>29500</v>
          </cell>
        </row>
        <row r="5">
          <cell r="A5">
            <v>8903287017049</v>
          </cell>
          <cell r="B5" t="str">
            <v>AIR CONDITIONER 1.0 T  IACS12BF5TC</v>
          </cell>
          <cell r="C5" t="str">
            <v>AC</v>
          </cell>
          <cell r="D5" t="str">
            <v>AC</v>
          </cell>
          <cell r="E5">
            <v>32000</v>
          </cell>
        </row>
        <row r="6">
          <cell r="A6">
            <v>8903287017056</v>
          </cell>
          <cell r="B6" t="str">
            <v>AIR ONDITIONER 1.5 T  IACS18AK3TC</v>
          </cell>
          <cell r="C6" t="str">
            <v>AC</v>
          </cell>
          <cell r="D6" t="str">
            <v>AC</v>
          </cell>
          <cell r="E6">
            <v>34750</v>
          </cell>
        </row>
        <row r="7">
          <cell r="A7">
            <v>8903287017063</v>
          </cell>
          <cell r="B7" t="str">
            <v>AIR CONDITIONER 1.5 T  IACS18BF5TP</v>
          </cell>
          <cell r="C7" t="str">
            <v>AC</v>
          </cell>
          <cell r="D7" t="str">
            <v>AC</v>
          </cell>
          <cell r="E7">
            <v>39000</v>
          </cell>
        </row>
        <row r="8">
          <cell r="A8">
            <v>8903287017070</v>
          </cell>
          <cell r="B8" t="str">
            <v>AIR CONDITIONER 1.5 T  IACS18CK3TCG</v>
          </cell>
          <cell r="C8" t="str">
            <v>AC</v>
          </cell>
          <cell r="D8" t="str">
            <v>AC</v>
          </cell>
          <cell r="E8">
            <v>38000</v>
          </cell>
        </row>
        <row r="9">
          <cell r="A9">
            <v>8903287017087</v>
          </cell>
          <cell r="B9" t="str">
            <v>AIR CONDITIONER 2.0 T  IACS24AK3TC</v>
          </cell>
          <cell r="C9" t="str">
            <v>AC</v>
          </cell>
          <cell r="D9" t="str">
            <v>AC</v>
          </cell>
          <cell r="E9">
            <v>44000</v>
          </cell>
        </row>
        <row r="10">
          <cell r="A10">
            <v>8903287017094</v>
          </cell>
          <cell r="B10" t="str">
            <v>AIR CONDITIONER 1.5 T DC  IACS18L0TC</v>
          </cell>
          <cell r="C10" t="str">
            <v>AC</v>
          </cell>
          <cell r="D10" t="str">
            <v>AC</v>
          </cell>
          <cell r="E10">
            <v>52000</v>
          </cell>
        </row>
        <row r="11">
          <cell r="A11">
            <v>8903287017100</v>
          </cell>
          <cell r="B11" t="str">
            <v>AIR CONDITIONER 1.5 T  IACS18CK3TCC</v>
          </cell>
          <cell r="C11" t="str">
            <v>AC</v>
          </cell>
          <cell r="D11" t="str">
            <v>AC</v>
          </cell>
          <cell r="E11">
            <v>36250</v>
          </cell>
        </row>
        <row r="12">
          <cell r="A12">
            <v>8903287017117</v>
          </cell>
          <cell r="B12" t="str">
            <v>AIR CONDITIONER 1.5 T  IACS18CK3TCW</v>
          </cell>
          <cell r="C12" t="str">
            <v>AC</v>
          </cell>
          <cell r="D12" t="str">
            <v>AC</v>
          </cell>
          <cell r="E12">
            <v>36250</v>
          </cell>
        </row>
        <row r="13">
          <cell r="A13">
            <v>8903287017124</v>
          </cell>
          <cell r="B13" t="str">
            <v>AIR CONDITIONER 1.0 T DC  IACS12L0TC</v>
          </cell>
          <cell r="C13" t="str">
            <v>AC</v>
          </cell>
          <cell r="D13" t="str">
            <v>AC</v>
          </cell>
          <cell r="E13">
            <v>39500</v>
          </cell>
        </row>
        <row r="14">
          <cell r="A14">
            <v>8903287017131</v>
          </cell>
          <cell r="B14" t="str">
            <v>AIR CONDITIONER 2.0 T DC  IACS24L0TC</v>
          </cell>
          <cell r="C14" t="str">
            <v>AC</v>
          </cell>
          <cell r="D14" t="str">
            <v>AC</v>
          </cell>
          <cell r="E14">
            <v>65000</v>
          </cell>
        </row>
        <row r="15">
          <cell r="A15">
            <v>8903287017148</v>
          </cell>
          <cell r="B15" t="str">
            <v>DUMMY AIR CONDITIONER 1.0 T IACS12AK3TC</v>
          </cell>
          <cell r="C15" t="str">
            <v>AC</v>
          </cell>
          <cell r="D15" t="str">
            <v>AC</v>
          </cell>
          <cell r="E15">
            <v>3750</v>
          </cell>
        </row>
        <row r="16">
          <cell r="A16">
            <v>8903287017155</v>
          </cell>
          <cell r="B16" t="str">
            <v>DUMMY AIR CONDITIONER 1.5 T IACS18AK3TC</v>
          </cell>
          <cell r="C16" t="str">
            <v>AC</v>
          </cell>
          <cell r="D16" t="str">
            <v>AC</v>
          </cell>
          <cell r="E16">
            <v>4300</v>
          </cell>
        </row>
        <row r="17">
          <cell r="A17">
            <v>8903287017162</v>
          </cell>
          <cell r="B17" t="str">
            <v>DUMMY AIR CONDITIONER 2.0 T IACS24AK3TC</v>
          </cell>
          <cell r="C17" t="str">
            <v>AC</v>
          </cell>
          <cell r="D17" t="str">
            <v>AC</v>
          </cell>
          <cell r="E17">
            <v>4500</v>
          </cell>
        </row>
        <row r="18">
          <cell r="A18">
            <v>8903287017179</v>
          </cell>
          <cell r="B18" t="str">
            <v>DUMMY AIR CONDI. 1.0 T DC IACS12L0TC</v>
          </cell>
          <cell r="C18" t="str">
            <v>AC</v>
          </cell>
          <cell r="D18" t="str">
            <v>AC</v>
          </cell>
          <cell r="E18">
            <v>4200</v>
          </cell>
        </row>
        <row r="19">
          <cell r="A19">
            <v>8903287017186</v>
          </cell>
          <cell r="B19" t="str">
            <v>DUMMY AIR CONDI. 1.5 T DC IACS18L0TC</v>
          </cell>
          <cell r="C19" t="str">
            <v>AC</v>
          </cell>
          <cell r="D19" t="str">
            <v>AC</v>
          </cell>
          <cell r="E19">
            <v>4400</v>
          </cell>
        </row>
        <row r="20">
          <cell r="A20">
            <v>8903287017193</v>
          </cell>
          <cell r="B20" t="str">
            <v> DUMMY AIR CONDITIONER 1.0 T IACS12BF5TC</v>
          </cell>
          <cell r="C20" t="str">
            <v>AC</v>
          </cell>
          <cell r="D20" t="str">
            <v>AC</v>
          </cell>
          <cell r="E20">
            <v>4400</v>
          </cell>
        </row>
        <row r="21">
          <cell r="A21">
            <v>8903287017209</v>
          </cell>
          <cell r="B21" t="str">
            <v> DUMMY AIR CONDITIONER 1.5 T IACS18BF5TP</v>
          </cell>
          <cell r="C21" t="str">
            <v>AC</v>
          </cell>
          <cell r="D21" t="str">
            <v>AC</v>
          </cell>
          <cell r="E21">
            <v>4500</v>
          </cell>
        </row>
        <row r="22">
          <cell r="A22">
            <v>8903287017339</v>
          </cell>
          <cell r="B22" t="str">
            <v>SPLIT AC 1.0 T  IACS12AK2TC [CU]-IDU</v>
          </cell>
          <cell r="C22" t="str">
            <v>AC</v>
          </cell>
          <cell r="D22" t="str">
            <v>AC</v>
          </cell>
          <cell r="E22">
            <v>30990</v>
          </cell>
        </row>
        <row r="23">
          <cell r="A23">
            <v>8903287017353</v>
          </cell>
          <cell r="B23" t="str">
            <v>SPLIT AC 1.5 T IACS18AK2TC [CU]-IDU</v>
          </cell>
          <cell r="C23" t="str">
            <v>AC</v>
          </cell>
          <cell r="D23" t="str">
            <v>AC</v>
          </cell>
          <cell r="E23">
            <v>35490</v>
          </cell>
        </row>
        <row r="24">
          <cell r="A24">
            <v>8903287017377</v>
          </cell>
          <cell r="B24" t="str">
            <v>SPLIT AC 2.0 T IACS24AK2TC[CU]-IDU</v>
          </cell>
          <cell r="C24" t="str">
            <v>AC</v>
          </cell>
          <cell r="D24" t="str">
            <v>AC</v>
          </cell>
          <cell r="E24">
            <v>45990</v>
          </cell>
        </row>
        <row r="25">
          <cell r="A25">
            <v>8903287017391</v>
          </cell>
          <cell r="B25" t="str">
            <v>SPLIT AC 1.0 T  IACS12KA3TC [CU]-IDU</v>
          </cell>
          <cell r="C25" t="str">
            <v>AC</v>
          </cell>
          <cell r="D25" t="str">
            <v>AC</v>
          </cell>
          <cell r="E25">
            <v>34750</v>
          </cell>
        </row>
        <row r="26">
          <cell r="A26">
            <v>8903287017414</v>
          </cell>
          <cell r="B26" t="str">
            <v>SPLIT AC 1.0 T  IACS12KA3TP [PFC]-IDU</v>
          </cell>
          <cell r="C26" t="str">
            <v>AC</v>
          </cell>
          <cell r="D26" t="str">
            <v>AC</v>
          </cell>
          <cell r="E26">
            <v>33090</v>
          </cell>
        </row>
        <row r="27">
          <cell r="A27">
            <v>8903287017438</v>
          </cell>
          <cell r="B27" t="str">
            <v>SPLIT AC 1.5 T  IACS18KA3TC[CU]-IDU</v>
          </cell>
          <cell r="C27" t="str">
            <v>AC</v>
          </cell>
          <cell r="D27" t="str">
            <v>AC</v>
          </cell>
          <cell r="E27">
            <v>38740</v>
          </cell>
        </row>
        <row r="28">
          <cell r="A28">
            <v>8903287017452</v>
          </cell>
          <cell r="B28" t="str">
            <v>SPLIT AC 1.5 T  IACS18KA3TP[PFC]-IDU</v>
          </cell>
          <cell r="C28" t="str">
            <v>AC</v>
          </cell>
          <cell r="D28" t="str">
            <v>AC</v>
          </cell>
          <cell r="E28">
            <v>36490</v>
          </cell>
        </row>
        <row r="29">
          <cell r="A29">
            <v>8903287017476</v>
          </cell>
          <cell r="B29" t="str">
            <v>SPLIT AC 1.5 T  IACS18BF5TP -IDU</v>
          </cell>
          <cell r="C29" t="str">
            <v>AC</v>
          </cell>
          <cell r="D29" t="str">
            <v>AC</v>
          </cell>
          <cell r="E29">
            <v>45190</v>
          </cell>
        </row>
        <row r="30">
          <cell r="A30">
            <v>8903287017513</v>
          </cell>
          <cell r="B30" t="str">
            <v>SPLIT AC 1.5 T DC  IACS18L0TC-IDU</v>
          </cell>
          <cell r="C30" t="str">
            <v>AC</v>
          </cell>
          <cell r="D30" t="str">
            <v>AC</v>
          </cell>
          <cell r="E30">
            <v>60000</v>
          </cell>
        </row>
        <row r="31">
          <cell r="A31">
            <v>8903287017537</v>
          </cell>
          <cell r="B31" t="str">
            <v>SPLIT AC 2.0 T DC  IACS24L0TC-IDU</v>
          </cell>
          <cell r="C31" t="str">
            <v>AC</v>
          </cell>
          <cell r="D31" t="str">
            <v>AC</v>
          </cell>
          <cell r="E31">
            <v>65000</v>
          </cell>
        </row>
        <row r="32">
          <cell r="A32">
            <v>8903287017544</v>
          </cell>
          <cell r="B32" t="str">
            <v>SPLIT AC 1.0 T IACS12AKI3TC[CU]-IDU</v>
          </cell>
          <cell r="C32" t="str">
            <v>AC</v>
          </cell>
          <cell r="D32" t="str">
            <v>AC</v>
          </cell>
          <cell r="E32">
            <v>29490</v>
          </cell>
        </row>
        <row r="33">
          <cell r="A33">
            <v>8903287017568</v>
          </cell>
          <cell r="B33" t="str">
            <v>SPLIT AC 1.5 T  IACS18IA3TC[CU]-IDU</v>
          </cell>
          <cell r="C33" t="str">
            <v>AC</v>
          </cell>
          <cell r="D33" t="str">
            <v>AC</v>
          </cell>
          <cell r="E33">
            <v>43490</v>
          </cell>
        </row>
        <row r="34">
          <cell r="A34">
            <v>8903287017582</v>
          </cell>
          <cell r="B34" t="str">
            <v>SPLIT AC 1.5 T IACS18AKI3TC[CU]-IDU</v>
          </cell>
          <cell r="C34" t="str">
            <v>AC</v>
          </cell>
          <cell r="D34" t="str">
            <v>AC</v>
          </cell>
          <cell r="E34">
            <v>35600</v>
          </cell>
        </row>
        <row r="35">
          <cell r="A35">
            <v>8903287017605</v>
          </cell>
          <cell r="B35" t="str">
            <v>SPLIT AC 1.0 T IACS12KD5TC[CU]-IDU</v>
          </cell>
          <cell r="C35" t="str">
            <v>AC</v>
          </cell>
          <cell r="D35" t="str">
            <v>AC</v>
          </cell>
          <cell r="E35">
            <v>37490</v>
          </cell>
        </row>
        <row r="36">
          <cell r="A36">
            <v>8903287017629</v>
          </cell>
          <cell r="B36" t="str">
            <v>SPLIT AC 1.5 T IACS18KD5TP[PFC]-IDU</v>
          </cell>
          <cell r="C36" t="str">
            <v>AC</v>
          </cell>
          <cell r="D36" t="str">
            <v>AC</v>
          </cell>
          <cell r="E36">
            <v>43990</v>
          </cell>
        </row>
        <row r="37">
          <cell r="A37">
            <v>8903287017643</v>
          </cell>
          <cell r="B37" t="str">
            <v>SPLIT AC 1.5 T IACS18IA5TC[CU]-IDU</v>
          </cell>
          <cell r="C37" t="str">
            <v>AC</v>
          </cell>
          <cell r="D37" t="str">
            <v>AC</v>
          </cell>
          <cell r="E37">
            <v>53590</v>
          </cell>
        </row>
        <row r="38">
          <cell r="A38">
            <v>8903287017667</v>
          </cell>
          <cell r="B38" t="str">
            <v>SPLIT AC 1.0 T IACS12JCCTC[CU]-IDU</v>
          </cell>
          <cell r="C38" t="str">
            <v>AC</v>
          </cell>
          <cell r="D38" t="str">
            <v>AC</v>
          </cell>
          <cell r="E38">
            <v>42990</v>
          </cell>
        </row>
        <row r="39">
          <cell r="A39">
            <v>8903287017681</v>
          </cell>
          <cell r="B39" t="str">
            <v>SPLIT AC 1.5 T IACS18JCCTC[CU]-IDU</v>
          </cell>
          <cell r="C39" t="str">
            <v>AC</v>
          </cell>
          <cell r="D39" t="str">
            <v>AC</v>
          </cell>
          <cell r="E39">
            <v>55490</v>
          </cell>
        </row>
        <row r="40">
          <cell r="A40">
            <v>8903287017704</v>
          </cell>
          <cell r="B40" t="str">
            <v>SPLIT AC 1.0 T IACS12JCHTC[CU]-IDU</v>
          </cell>
          <cell r="C40" t="str">
            <v>AC</v>
          </cell>
          <cell r="D40" t="str">
            <v>AC</v>
          </cell>
          <cell r="E40">
            <v>45590</v>
          </cell>
        </row>
        <row r="41">
          <cell r="A41">
            <v>8903287017728</v>
          </cell>
          <cell r="B41" t="str">
            <v>SPLIT AC 1.5 T IACS18JCHTC[CU]-IDU</v>
          </cell>
          <cell r="C41" t="str">
            <v>AC</v>
          </cell>
          <cell r="D41" t="str">
            <v>AC</v>
          </cell>
          <cell r="E41">
            <v>57590</v>
          </cell>
        </row>
        <row r="42">
          <cell r="A42">
            <v>8903287017742</v>
          </cell>
          <cell r="B42" t="str">
            <v>SPLIT AC 2.0 T IACS24JCHTC[CU]-IDU</v>
          </cell>
          <cell r="C42" t="str">
            <v>AC</v>
          </cell>
          <cell r="D42" t="str">
            <v>AC</v>
          </cell>
          <cell r="E42">
            <v>70590</v>
          </cell>
        </row>
        <row r="43">
          <cell r="A43">
            <v>8903287017766</v>
          </cell>
          <cell r="B43" t="str">
            <v>SPLIT AC 1.0 T IACS12KA3TGC[CU]-IDU</v>
          </cell>
          <cell r="C43" t="str">
            <v>AC</v>
          </cell>
          <cell r="D43" t="str">
            <v>AC</v>
          </cell>
          <cell r="E43">
            <v>35550</v>
          </cell>
        </row>
        <row r="44">
          <cell r="A44">
            <v>8903287017797</v>
          </cell>
          <cell r="B44" t="str">
            <v>SPLIT AC 1.0 T IACS12IA5TGC[CU]-IDU</v>
          </cell>
          <cell r="C44" t="str">
            <v>AC</v>
          </cell>
          <cell r="D44" t="str">
            <v>AC</v>
          </cell>
          <cell r="E44">
            <v>37990</v>
          </cell>
        </row>
        <row r="45">
          <cell r="A45">
            <v>8903287017810</v>
          </cell>
          <cell r="B45" t="str">
            <v>SPLIT AC 1.5T IACS18AKI3TGC[CU]-IDU</v>
          </cell>
          <cell r="C45" t="str">
            <v>AC</v>
          </cell>
          <cell r="D45" t="str">
            <v>AC</v>
          </cell>
          <cell r="E45">
            <v>36100</v>
          </cell>
        </row>
        <row r="46">
          <cell r="A46">
            <v>8903287017834</v>
          </cell>
          <cell r="B46" t="str">
            <v>SPLIT AC 1.5 T  IACS18KA3TGC[CU]-IDU</v>
          </cell>
          <cell r="C46" t="str">
            <v>AC</v>
          </cell>
          <cell r="D46" t="str">
            <v>AC</v>
          </cell>
          <cell r="E46">
            <v>36990</v>
          </cell>
        </row>
        <row r="47">
          <cell r="A47">
            <v>8903287017858</v>
          </cell>
          <cell r="B47" t="str">
            <v>SPLIT AC 1.5T IACS18IA3TGC[CU]-IDU</v>
          </cell>
          <cell r="C47" t="str">
            <v>AC</v>
          </cell>
          <cell r="D47" t="str">
            <v>AC</v>
          </cell>
          <cell r="E47">
            <v>39440</v>
          </cell>
        </row>
        <row r="48">
          <cell r="A48">
            <v>8903287017872</v>
          </cell>
          <cell r="B48" t="str">
            <v>SPLIT AC 1.5T IACS18IA5TGC[CU]-IDU</v>
          </cell>
          <cell r="C48" t="str">
            <v>AC</v>
          </cell>
          <cell r="D48" t="str">
            <v>AC</v>
          </cell>
          <cell r="E48">
            <v>45990</v>
          </cell>
        </row>
        <row r="49">
          <cell r="A49">
            <v>8903287017896</v>
          </cell>
          <cell r="B49" t="str">
            <v>SPLIT AC 2.0 T IACS24KA3TGC[CU]-IDU</v>
          </cell>
          <cell r="C49" t="str">
            <v>AC</v>
          </cell>
          <cell r="D49" t="str">
            <v>AC</v>
          </cell>
          <cell r="E49">
            <v>48490</v>
          </cell>
        </row>
        <row r="50">
          <cell r="A50">
            <v>8903287017919</v>
          </cell>
          <cell r="B50" t="str">
            <v>SPLIT AC 1.0 T IACS12JCCTGC[CU]-IDU</v>
          </cell>
          <cell r="C50" t="str">
            <v>AC</v>
          </cell>
          <cell r="D50" t="str">
            <v>AC</v>
          </cell>
          <cell r="E50">
            <v>41740</v>
          </cell>
        </row>
        <row r="51">
          <cell r="A51">
            <v>8903287017957</v>
          </cell>
          <cell r="B51" t="str">
            <v>SPLIT AC 1.5 T IACS18JCHTGC[CU]-IDU</v>
          </cell>
          <cell r="C51" t="str">
            <v>AC</v>
          </cell>
          <cell r="D51" t="str">
            <v>AC</v>
          </cell>
          <cell r="E51">
            <v>48590</v>
          </cell>
        </row>
        <row r="52">
          <cell r="A52">
            <v>8903287017993</v>
          </cell>
          <cell r="B52" t="str">
            <v>SPLIT AC 1.5 T IACS18JCCTGC-IDU(WRONG)</v>
          </cell>
          <cell r="C52" t="str">
            <v>AC</v>
          </cell>
          <cell r="D52" t="str">
            <v>AC</v>
          </cell>
          <cell r="E52">
            <v>14247</v>
          </cell>
        </row>
        <row r="53">
          <cell r="A53">
            <v>8903287017995</v>
          </cell>
          <cell r="B53" t="str">
            <v>SPLIT AC 1.5 T IACS18JCCTGC[CU]-IDU</v>
          </cell>
          <cell r="C53" t="str">
            <v>AC</v>
          </cell>
          <cell r="D53" t="str">
            <v>AC</v>
          </cell>
          <cell r="E53">
            <v>49390</v>
          </cell>
        </row>
        <row r="54">
          <cell r="A54">
            <v>8903287028007</v>
          </cell>
          <cell r="B54" t="str">
            <v>SPLIT AC 2 T IACS24JCHTGC[CU]-IDU</v>
          </cell>
          <cell r="C54" t="str">
            <v>AC</v>
          </cell>
          <cell r="D54" t="str">
            <v>AC</v>
          </cell>
          <cell r="E54">
            <v>70590</v>
          </cell>
        </row>
        <row r="55">
          <cell r="A55">
            <v>8903287028038</v>
          </cell>
          <cell r="B55" t="str">
            <v>SPLIT AC IACS12AK3TGC(CU)- IDU</v>
          </cell>
          <cell r="C55" t="str">
            <v>AC</v>
          </cell>
          <cell r="D55" t="str">
            <v>AC</v>
          </cell>
          <cell r="E55">
            <v>32990</v>
          </cell>
        </row>
        <row r="56">
          <cell r="A56">
            <v>8903287028052</v>
          </cell>
          <cell r="B56" t="str">
            <v>SPLIT AC 1.0 T  IACS12KDCTGC(CU)-IDU</v>
          </cell>
          <cell r="C56" t="str">
            <v>AC</v>
          </cell>
          <cell r="D56" t="str">
            <v>AC</v>
          </cell>
          <cell r="E56">
            <v>41740</v>
          </cell>
        </row>
        <row r="57">
          <cell r="A57">
            <v>8903287028076</v>
          </cell>
          <cell r="B57" t="str">
            <v>SPLIT AC 1.5 T  IACS18KDCTGC(CU)-IDU</v>
          </cell>
          <cell r="C57" t="str">
            <v>AC</v>
          </cell>
          <cell r="D57" t="str">
            <v>AC</v>
          </cell>
          <cell r="E57">
            <v>47990</v>
          </cell>
        </row>
        <row r="58">
          <cell r="A58">
            <v>8903287028137</v>
          </cell>
          <cell r="B58" t="str">
            <v>AIR CONDITIONER 1.5 T IACS18AK3TC-IDU</v>
          </cell>
          <cell r="C58" t="str">
            <v>AC</v>
          </cell>
          <cell r="D58" t="str">
            <v>AC</v>
          </cell>
          <cell r="E58">
            <v>34750</v>
          </cell>
        </row>
        <row r="59">
          <cell r="A59">
            <v>8903287028236</v>
          </cell>
          <cell r="B59" t="str">
            <v>SPLIT AC 1.5 T IACS18JCHTGCA[CU]-IDU</v>
          </cell>
          <cell r="C59" t="str">
            <v>AC</v>
          </cell>
          <cell r="D59" t="str">
            <v>AC</v>
          </cell>
          <cell r="E59">
            <v>49990</v>
          </cell>
        </row>
        <row r="60">
          <cell r="A60">
            <v>8903287028250</v>
          </cell>
          <cell r="B60" t="str">
            <v>SPLIT AC 1.0T IAFS12FU2A3C- IDU</v>
          </cell>
          <cell r="C60" t="str">
            <v>AC</v>
          </cell>
          <cell r="D60" t="str">
            <v>AC</v>
          </cell>
          <cell r="E60">
            <v>34490</v>
          </cell>
        </row>
        <row r="61">
          <cell r="A61">
            <v>8903287028274</v>
          </cell>
          <cell r="B61" t="str">
            <v>SPLIT AC 1.5T IAFS18FU2A3C- IDU</v>
          </cell>
          <cell r="C61" t="str">
            <v>AC</v>
          </cell>
          <cell r="D61" t="str">
            <v>AC</v>
          </cell>
          <cell r="E61">
            <v>37990</v>
          </cell>
        </row>
        <row r="62">
          <cell r="A62">
            <v>8903287028298</v>
          </cell>
          <cell r="B62" t="str">
            <v>SPLIT AC 2.0T IAFS24FU2A3C- IDU</v>
          </cell>
          <cell r="C62" t="str">
            <v>AC</v>
          </cell>
          <cell r="D62" t="str">
            <v>AC</v>
          </cell>
          <cell r="E62">
            <v>45990</v>
          </cell>
        </row>
        <row r="63">
          <cell r="A63">
            <v>8903287028311</v>
          </cell>
          <cell r="B63" t="str">
            <v>SPLIT AC 1.0T IAFS12FU3A3C- IDU</v>
          </cell>
          <cell r="C63" t="str">
            <v>AC</v>
          </cell>
          <cell r="D63" t="str">
            <v>AC</v>
          </cell>
          <cell r="E63">
            <v>36990</v>
          </cell>
        </row>
        <row r="64">
          <cell r="A64">
            <v>8903287028335</v>
          </cell>
          <cell r="B64" t="str">
            <v>SPLIT AC 1.5T IAFS18FU3A3C- IDU</v>
          </cell>
          <cell r="C64" t="str">
            <v>AC</v>
          </cell>
          <cell r="D64" t="str">
            <v>AC</v>
          </cell>
          <cell r="E64">
            <v>41990</v>
          </cell>
        </row>
        <row r="65">
          <cell r="A65">
            <v>8903287028359</v>
          </cell>
          <cell r="B65" t="str">
            <v>SPLIT AC 2.0T IAFS24FU3A3C- IDU</v>
          </cell>
          <cell r="C65" t="str">
            <v>AC</v>
          </cell>
          <cell r="D65" t="str">
            <v>AC</v>
          </cell>
          <cell r="E65">
            <v>48490</v>
          </cell>
        </row>
        <row r="66">
          <cell r="A66">
            <v>8903287028373</v>
          </cell>
          <cell r="B66" t="str">
            <v>SPLIT AC 1.0T IACC12FV3A3C- IDU</v>
          </cell>
          <cell r="C66" t="str">
            <v>AC</v>
          </cell>
          <cell r="D66" t="str">
            <v>AC</v>
          </cell>
          <cell r="E66">
            <v>41990</v>
          </cell>
        </row>
        <row r="67">
          <cell r="A67">
            <v>8903287028397</v>
          </cell>
          <cell r="B67" t="str">
            <v>SPLIT AC 1.5T IACC18FV3A3C- IDU</v>
          </cell>
          <cell r="C67" t="str">
            <v>AC</v>
          </cell>
          <cell r="D67" t="str">
            <v>AC</v>
          </cell>
          <cell r="E67">
            <v>45490</v>
          </cell>
        </row>
        <row r="68">
          <cell r="A68">
            <v>8903287028410</v>
          </cell>
          <cell r="B68" t="str">
            <v>SPLIT AC 2.0T IACC24FV3A4C- IDU</v>
          </cell>
          <cell r="C68" t="str">
            <v>AC</v>
          </cell>
          <cell r="D68" t="str">
            <v>AC</v>
          </cell>
          <cell r="E68">
            <v>52990</v>
          </cell>
        </row>
        <row r="69">
          <cell r="A69">
            <v>8903287028434</v>
          </cell>
          <cell r="B69" t="str">
            <v>SPLIT AC 1.0T IACC12LS5A3C- IDU</v>
          </cell>
          <cell r="C69" t="str">
            <v>AC</v>
          </cell>
          <cell r="D69" t="str">
            <v>AC</v>
          </cell>
          <cell r="E69">
            <v>44490</v>
          </cell>
        </row>
        <row r="70">
          <cell r="A70">
            <v>8903287028458</v>
          </cell>
          <cell r="B70" t="str">
            <v>SPLIT AC 1.5T IACC18LS5A3C- IDU</v>
          </cell>
          <cell r="C70" t="str">
            <v>AC</v>
          </cell>
          <cell r="D70" t="str">
            <v>AC</v>
          </cell>
          <cell r="E70">
            <v>49990</v>
          </cell>
        </row>
        <row r="71">
          <cell r="A71">
            <v>8903287028472</v>
          </cell>
          <cell r="B71" t="str">
            <v>SPLIT AC 1.5T IAHC18LS3A4C- IDU</v>
          </cell>
          <cell r="C71" t="str">
            <v>AC</v>
          </cell>
          <cell r="D71" t="str">
            <v>AC</v>
          </cell>
          <cell r="E71">
            <v>53990</v>
          </cell>
        </row>
        <row r="72">
          <cell r="A72">
            <v>8903287028496</v>
          </cell>
          <cell r="B72" t="str">
            <v>SPLIT AC 2.0T IAHC24LS3A4C- IDU</v>
          </cell>
          <cell r="C72" t="str">
            <v>AC</v>
          </cell>
          <cell r="D72" t="str">
            <v>AC</v>
          </cell>
          <cell r="E72">
            <v>70590</v>
          </cell>
        </row>
        <row r="73">
          <cell r="A73">
            <v>8903287028519</v>
          </cell>
          <cell r="B73" t="str">
            <v>SPLIT AC 1.5 T IAFS18XA2T3C-IDU</v>
          </cell>
          <cell r="C73" t="str">
            <v>AC</v>
          </cell>
          <cell r="D73" t="str">
            <v>AC</v>
          </cell>
          <cell r="E73">
            <v>35490</v>
          </cell>
        </row>
        <row r="74">
          <cell r="A74">
            <v>8903287028533</v>
          </cell>
          <cell r="B74" t="str">
            <v>SPLIT AC 1.0 T IAFS12XA3T3C-IDU</v>
          </cell>
          <cell r="C74" t="str">
            <v>AC</v>
          </cell>
          <cell r="D74" t="str">
            <v>AC</v>
          </cell>
          <cell r="E74">
            <v>33490</v>
          </cell>
        </row>
        <row r="75">
          <cell r="A75">
            <v>8903287028557</v>
          </cell>
          <cell r="B75" t="str">
            <v>SPLIT AC 1.5 T IAFS18XA3T3C-IDU</v>
          </cell>
          <cell r="C75" t="str">
            <v>AC</v>
          </cell>
          <cell r="D75" t="str">
            <v>AC</v>
          </cell>
          <cell r="E75">
            <v>40990</v>
          </cell>
        </row>
        <row r="76">
          <cell r="A76">
            <v>8903287028571</v>
          </cell>
          <cell r="B76" t="str">
            <v>SPLIT AC 1.0 T IACC12IA3T4C-IDU</v>
          </cell>
          <cell r="C76" t="str">
            <v>AC</v>
          </cell>
          <cell r="D76" t="str">
            <v>AC</v>
          </cell>
          <cell r="E76">
            <v>39990</v>
          </cell>
        </row>
        <row r="77">
          <cell r="A77">
            <v>8903287028595</v>
          </cell>
          <cell r="B77" t="str">
            <v>SPLIT AC 1.5 T IACC18IA3T4C-IDU</v>
          </cell>
          <cell r="C77" t="str">
            <v>AC</v>
          </cell>
          <cell r="D77" t="str">
            <v>AC</v>
          </cell>
          <cell r="E77">
            <v>43990</v>
          </cell>
        </row>
        <row r="78">
          <cell r="A78">
            <v>8903287028618</v>
          </cell>
          <cell r="B78" t="str">
            <v>SPLIT AC 1.0 T IACC12IA5T4C-IDU</v>
          </cell>
          <cell r="C78" t="str">
            <v>AC</v>
          </cell>
          <cell r="D78" t="str">
            <v>AC</v>
          </cell>
          <cell r="E78">
            <v>42990</v>
          </cell>
        </row>
        <row r="79">
          <cell r="A79">
            <v>8903287028632</v>
          </cell>
          <cell r="B79" t="str">
            <v>SPLIT AC 1.5 T IACC18IA5T4C-IDU</v>
          </cell>
          <cell r="C79" t="str">
            <v>AC</v>
          </cell>
          <cell r="D79" t="str">
            <v>AC</v>
          </cell>
          <cell r="E79">
            <v>49990</v>
          </cell>
        </row>
        <row r="80">
          <cell r="A80">
            <v>8903287028656</v>
          </cell>
          <cell r="B80" t="str">
            <v>SPLIT AC 1.5 T IAHC18JC3T4C-IDU</v>
          </cell>
          <cell r="C80" t="str">
            <v>AC</v>
          </cell>
          <cell r="D80" t="str">
            <v>AC</v>
          </cell>
          <cell r="E80">
            <v>49990</v>
          </cell>
        </row>
        <row r="81">
          <cell r="A81">
            <v>8903287028670</v>
          </cell>
          <cell r="B81" t="str">
            <v>SPLIT AC 2.0 T IAHC24JC3T4C-IDU</v>
          </cell>
          <cell r="C81" t="str">
            <v>AC</v>
          </cell>
          <cell r="D81" t="str">
            <v>AC</v>
          </cell>
          <cell r="E81">
            <v>70990</v>
          </cell>
        </row>
        <row r="82">
          <cell r="A82">
            <v>8903287028694</v>
          </cell>
          <cell r="B82" t="str">
            <v>SPLIT AC 2.0 T IAFS24XA3T4C-IDU</v>
          </cell>
          <cell r="C82" t="str">
            <v>AC</v>
          </cell>
          <cell r="D82" t="str">
            <v>AC</v>
          </cell>
          <cell r="E82">
            <v>52990</v>
          </cell>
        </row>
        <row r="83">
          <cell r="A83">
            <v>8903287028717</v>
          </cell>
          <cell r="B83" t="str">
            <v>SPLIT AC 1.5 T IAFS18XA3T3CA-IDU</v>
          </cell>
          <cell r="C83" t="str">
            <v>AC</v>
          </cell>
          <cell r="D83" t="str">
            <v>AC</v>
          </cell>
          <cell r="E83">
            <v>42990</v>
          </cell>
        </row>
        <row r="84">
          <cell r="A84">
            <v>8903287028731</v>
          </cell>
          <cell r="B84" t="str">
            <v>SPLIT AC 1.5 T IACC18IA3T4CA-IDU</v>
          </cell>
          <cell r="C84" t="str">
            <v>AC</v>
          </cell>
          <cell r="D84" t="str">
            <v>AC</v>
          </cell>
          <cell r="E84">
            <v>43990</v>
          </cell>
        </row>
        <row r="85">
          <cell r="A85">
            <v>8903287028755</v>
          </cell>
          <cell r="B85" t="str">
            <v>SPLIT AC 1.5 T IACC18IA5T4CA-IDU</v>
          </cell>
          <cell r="C85" t="str">
            <v>AC</v>
          </cell>
          <cell r="D85" t="str">
            <v>AC</v>
          </cell>
          <cell r="E85">
            <v>52990</v>
          </cell>
        </row>
        <row r="86">
          <cell r="A86">
            <v>8903287028830</v>
          </cell>
          <cell r="B86" t="str">
            <v>SPLIT AC 1.0 T IACF12X23E3C-IDU</v>
          </cell>
          <cell r="C86" t="str">
            <v>AC</v>
          </cell>
          <cell r="D86" t="str">
            <v>AC</v>
          </cell>
          <cell r="E86">
            <v>33490</v>
          </cell>
        </row>
        <row r="87">
          <cell r="A87">
            <v>8903287028847</v>
          </cell>
          <cell r="B87" t="str">
            <v>SPLIT AC 1.5 T IACF18X23E3C-IDU</v>
          </cell>
          <cell r="C87" t="str">
            <v>AC</v>
          </cell>
          <cell r="D87" t="str">
            <v>AC</v>
          </cell>
          <cell r="E87">
            <v>42990</v>
          </cell>
        </row>
        <row r="88">
          <cell r="A88">
            <v>8903287028861</v>
          </cell>
          <cell r="B88" t="str">
            <v>SPLIT AC 1.5 T IACC18IA3T4CA-IDU</v>
          </cell>
          <cell r="C88" t="str">
            <v>AC</v>
          </cell>
          <cell r="D88" t="str">
            <v>AC</v>
          </cell>
          <cell r="E88">
            <v>46990</v>
          </cell>
        </row>
        <row r="89">
          <cell r="A89">
            <v>8903287028885</v>
          </cell>
          <cell r="B89" t="str">
            <v>SPLIT AC 1.0 T IACI12X83T3C-IDU</v>
          </cell>
          <cell r="C89" t="str">
            <v>AC</v>
          </cell>
          <cell r="D89" t="str">
            <v>AC</v>
          </cell>
          <cell r="E89">
            <v>39990</v>
          </cell>
        </row>
        <row r="90">
          <cell r="A90">
            <v>8903287028908</v>
          </cell>
          <cell r="B90" t="str">
            <v>SPLIT AC 1.5 T IACI18X83T3C-IDU</v>
          </cell>
          <cell r="C90" t="str">
            <v>AC</v>
          </cell>
          <cell r="D90" t="str">
            <v>AC</v>
          </cell>
          <cell r="E90">
            <v>46990</v>
          </cell>
        </row>
        <row r="91">
          <cell r="A91">
            <v>8903287028922</v>
          </cell>
          <cell r="B91" t="str">
            <v>SPLIT AC 1.5 T IACI18X95T3C-IDU</v>
          </cell>
          <cell r="C91" t="str">
            <v>AC</v>
          </cell>
          <cell r="D91" t="str">
            <v>AC</v>
          </cell>
          <cell r="E91">
            <v>52990</v>
          </cell>
        </row>
        <row r="92">
          <cell r="A92">
            <v>8903287028946</v>
          </cell>
          <cell r="B92" t="str">
            <v>SPLIT AC 2.0 T IACI24X83T3C-IDU</v>
          </cell>
          <cell r="C92" t="str">
            <v>AC</v>
          </cell>
          <cell r="D92" t="str">
            <v>AC</v>
          </cell>
          <cell r="E92">
            <v>56990</v>
          </cell>
        </row>
        <row r="93">
          <cell r="A93">
            <v>8903287028960</v>
          </cell>
          <cell r="B93" t="str">
            <v>SPLIT AC 1.5 T IAHI18X93T3C-IDU</v>
          </cell>
          <cell r="C93" t="str">
            <v>AC</v>
          </cell>
          <cell r="D93" t="str">
            <v>AC</v>
          </cell>
          <cell r="E93">
            <v>51990</v>
          </cell>
        </row>
        <row r="94">
          <cell r="A94">
            <v>8903287028984</v>
          </cell>
          <cell r="B94" t="str">
            <v>SPLIT AC 2.0 T IAHI24X93T3C-IDU</v>
          </cell>
          <cell r="C94" t="str">
            <v>AC</v>
          </cell>
          <cell r="D94" t="str">
            <v>AC</v>
          </cell>
          <cell r="E94">
            <v>70990</v>
          </cell>
        </row>
        <row r="95">
          <cell r="A95">
            <v>8903287029028</v>
          </cell>
          <cell r="B95" t="str">
            <v>SPLIT AC 1.5 T IACI18I93T3C-IDU</v>
          </cell>
          <cell r="C95" t="str">
            <v>AC</v>
          </cell>
          <cell r="D95" t="str">
            <v>AC</v>
          </cell>
          <cell r="E95">
            <v>46990</v>
          </cell>
        </row>
        <row r="96">
          <cell r="A96">
            <v>8903287029042</v>
          </cell>
          <cell r="B96" t="str">
            <v>SPLIT AC 1.5 T IACI18I13T3C-IDU</v>
          </cell>
          <cell r="C96" t="str">
            <v>AC</v>
          </cell>
          <cell r="D96" t="str">
            <v>AC</v>
          </cell>
          <cell r="E96">
            <v>47990</v>
          </cell>
        </row>
        <row r="97">
          <cell r="A97">
            <v>8903287029066</v>
          </cell>
          <cell r="B97" t="str">
            <v>SPLIT AC 1.0 T IACI12I93T3C - IDU</v>
          </cell>
          <cell r="C97" t="str">
            <v>AC</v>
          </cell>
          <cell r="D97" t="str">
            <v>AC</v>
          </cell>
          <cell r="E97">
            <v>39990</v>
          </cell>
        </row>
        <row r="98">
          <cell r="A98">
            <v>8903287029127</v>
          </cell>
          <cell r="B98" t="str">
            <v>SPLIT AC 1.0T IACI12G83T3C - IDU</v>
          </cell>
          <cell r="C98" t="str">
            <v>AC</v>
          </cell>
          <cell r="D98" t="str">
            <v>AC</v>
          </cell>
          <cell r="E98">
            <v>40990</v>
          </cell>
        </row>
        <row r="99">
          <cell r="A99">
            <v>8903287029141</v>
          </cell>
          <cell r="B99" t="str">
            <v>SPLIT AC 1.5T IACI18G83T3C - IDU</v>
          </cell>
          <cell r="C99" t="str">
            <v>AC</v>
          </cell>
          <cell r="D99" t="str">
            <v>AC</v>
          </cell>
          <cell r="E99">
            <v>47991</v>
          </cell>
        </row>
        <row r="100">
          <cell r="A100">
            <v>8903287029165</v>
          </cell>
          <cell r="B100" t="str">
            <v>SPLIT AC 1.5 T IACI18G85T3C-IDU</v>
          </cell>
          <cell r="C100" t="str">
            <v>AC</v>
          </cell>
          <cell r="D100" t="str">
            <v>AC</v>
          </cell>
          <cell r="E100">
            <v>53990</v>
          </cell>
        </row>
        <row r="101">
          <cell r="A101">
            <v>8903287029189</v>
          </cell>
          <cell r="B101" t="str">
            <v>SPLIT AC 2.0 T IACI24G83T3C-IDU</v>
          </cell>
          <cell r="C101" t="str">
            <v>AC</v>
          </cell>
          <cell r="D101" t="str">
            <v>AC</v>
          </cell>
          <cell r="E101">
            <v>57990</v>
          </cell>
        </row>
        <row r="102">
          <cell r="A102">
            <v>8903287029202</v>
          </cell>
          <cell r="B102" t="str">
            <v>SPLIT AC 1.5 T IACI18S83T3C-IDU</v>
          </cell>
          <cell r="C102" t="str">
            <v>AC</v>
          </cell>
          <cell r="D102" t="str">
            <v>AC</v>
          </cell>
          <cell r="E102">
            <v>45990</v>
          </cell>
        </row>
        <row r="103">
          <cell r="A103">
            <v>8903287029226</v>
          </cell>
          <cell r="B103" t="str">
            <v>SPLIT AC 1.5 T IACI18S85T3C-IDU</v>
          </cell>
          <cell r="C103" t="str">
            <v>AC</v>
          </cell>
          <cell r="D103" t="str">
            <v>AC</v>
          </cell>
          <cell r="E103">
            <v>51990</v>
          </cell>
        </row>
        <row r="104">
          <cell r="A104">
            <v>8903287029240</v>
          </cell>
          <cell r="B104" t="str">
            <v>SPLIT AC 2.0 T IACI24S83T3C-IDU</v>
          </cell>
          <cell r="C104" t="str">
            <v>AC</v>
          </cell>
          <cell r="D104" t="str">
            <v>AC</v>
          </cell>
          <cell r="E104">
            <v>55990</v>
          </cell>
        </row>
        <row r="105">
          <cell r="A105">
            <v>8903287100604</v>
          </cell>
          <cell r="B105" t="str">
            <v>SAMPLE AIR CONDITIONER</v>
          </cell>
          <cell r="C105" t="str">
            <v>AC</v>
          </cell>
          <cell r="D105" t="str">
            <v>AC</v>
          </cell>
          <cell r="E105">
            <v>40990</v>
          </cell>
        </row>
        <row r="106">
          <cell r="A106">
            <v>8903289017766</v>
          </cell>
          <cell r="B106" t="str">
            <v>AC 1.0 T IACS12KA3TGC[CU]IDU-WRONG CODE</v>
          </cell>
          <cell r="C106" t="str">
            <v>AC</v>
          </cell>
          <cell r="D106" t="str">
            <v>AC</v>
          </cell>
          <cell r="E106">
            <v>10425</v>
          </cell>
        </row>
        <row r="107">
          <cell r="A107" t="str">
            <v>MD911ACCPD010F</v>
          </cell>
          <cell r="B107" t="str">
            <v>CONTROL PANEL DECO ACRYLIC C05-28BC5</v>
          </cell>
          <cell r="C107" t="str">
            <v>AC</v>
          </cell>
          <cell r="D107" t="str">
            <v>AC</v>
          </cell>
          <cell r="E107">
            <v>383</v>
          </cell>
        </row>
        <row r="108">
          <cell r="A108">
            <v>8903287200007</v>
          </cell>
          <cell r="B108" t="str">
            <v>SPLIT AC 1.5 T IACI18GB5G3C1-IDU</v>
          </cell>
          <cell r="C108" t="str">
            <v>ACMIU</v>
          </cell>
          <cell r="D108" t="str">
            <v>AC</v>
          </cell>
          <cell r="E108">
            <v>57890</v>
          </cell>
        </row>
        <row r="109">
          <cell r="A109">
            <v>8903287200021</v>
          </cell>
          <cell r="B109" t="str">
            <v>SPLIT AC 1.5 T IACI18GB3G3C-IDU</v>
          </cell>
          <cell r="C109" t="str">
            <v>ACMIU</v>
          </cell>
          <cell r="D109" t="str">
            <v>AC</v>
          </cell>
          <cell r="E109">
            <v>49490</v>
          </cell>
        </row>
        <row r="110">
          <cell r="A110">
            <v>8903287200045</v>
          </cell>
          <cell r="B110" t="str">
            <v>SPLIT AC 2.0 T IACI24GB3G3C-IDU</v>
          </cell>
          <cell r="C110" t="str">
            <v>ACMIU</v>
          </cell>
          <cell r="D110" t="str">
            <v>AC</v>
          </cell>
          <cell r="E110">
            <v>62990</v>
          </cell>
        </row>
        <row r="111">
          <cell r="A111">
            <v>8903287200069</v>
          </cell>
          <cell r="B111" t="str">
            <v>SPLIT AC 1.5 T IACI18GB5G3C-IDU</v>
          </cell>
          <cell r="C111" t="str">
            <v>ACMIU</v>
          </cell>
          <cell r="D111" t="str">
            <v>AC</v>
          </cell>
          <cell r="E111">
            <v>57890</v>
          </cell>
        </row>
        <row r="112">
          <cell r="A112">
            <v>8903287200083</v>
          </cell>
          <cell r="B112" t="str">
            <v>SPLIT AC 1.0 T IACI12SA3G3C-IDU</v>
          </cell>
          <cell r="C112" t="str">
            <v>ACMIU</v>
          </cell>
          <cell r="D112" t="str">
            <v>AC</v>
          </cell>
          <cell r="E112">
            <v>42190</v>
          </cell>
        </row>
        <row r="113">
          <cell r="A113">
            <v>8903287200106</v>
          </cell>
          <cell r="B113" t="str">
            <v>SPLIT AC 1.5 T IACI18SA3G3C-IDU</v>
          </cell>
          <cell r="C113" t="str">
            <v>ACMIU</v>
          </cell>
          <cell r="D113" t="str">
            <v>AC</v>
          </cell>
          <cell r="E113">
            <v>47490</v>
          </cell>
        </row>
        <row r="114">
          <cell r="A114">
            <v>8903287200120</v>
          </cell>
          <cell r="B114" t="str">
            <v>SPLIT AC 2.0 T IACI24SA3G3C-IDU</v>
          </cell>
          <cell r="C114" t="str">
            <v>ACMIU</v>
          </cell>
          <cell r="D114" t="str">
            <v>AC</v>
          </cell>
          <cell r="E114">
            <v>59590</v>
          </cell>
        </row>
        <row r="115">
          <cell r="A115">
            <v>8903287200144</v>
          </cell>
          <cell r="B115" t="str">
            <v>SPLIT AC 1.5 T IACI18SA5G3C-IDU</v>
          </cell>
          <cell r="C115" t="str">
            <v>ACMIU</v>
          </cell>
          <cell r="D115" t="str">
            <v>AC</v>
          </cell>
          <cell r="E115">
            <v>55890</v>
          </cell>
        </row>
        <row r="116">
          <cell r="A116">
            <v>8903287200168</v>
          </cell>
          <cell r="B116" t="str">
            <v>SPLIT AC 1.2 T IACI14PC5G3C-IDU</v>
          </cell>
          <cell r="C116" t="str">
            <v>ACMIU</v>
          </cell>
          <cell r="D116" t="str">
            <v>AC</v>
          </cell>
          <cell r="E116">
            <v>46990</v>
          </cell>
        </row>
        <row r="117">
          <cell r="A117">
            <v>8903287200182</v>
          </cell>
          <cell r="B117" t="str">
            <v>SPLIT AC 1.7 T IACI20PC5G3C-IDU</v>
          </cell>
          <cell r="C117" t="str">
            <v>ACMIU</v>
          </cell>
          <cell r="D117" t="str">
            <v>AC</v>
          </cell>
          <cell r="E117">
            <v>59990</v>
          </cell>
        </row>
        <row r="118">
          <cell r="A118">
            <v>8903287200205</v>
          </cell>
          <cell r="B118" t="str">
            <v>SPLIT AC 2.2 T IACI26PC4G3C-IDU</v>
          </cell>
          <cell r="C118" t="str">
            <v>ACMIU</v>
          </cell>
          <cell r="D118" t="str">
            <v>AC</v>
          </cell>
          <cell r="E118">
            <v>65990</v>
          </cell>
        </row>
        <row r="119">
          <cell r="A119">
            <v>8903287200229</v>
          </cell>
          <cell r="B119" t="str">
            <v>SPLIT AC 1.0 T IACI12SD3G3C-IDU-DUMMY</v>
          </cell>
          <cell r="C119" t="str">
            <v>ACMIU</v>
          </cell>
          <cell r="D119" t="str">
            <v>AC</v>
          </cell>
          <cell r="E119">
            <v>2700</v>
          </cell>
        </row>
        <row r="120">
          <cell r="A120">
            <v>8903287200236</v>
          </cell>
          <cell r="B120" t="str">
            <v>SPLIT AC 1.5 T IACI18SD3G3C-IDU-DUMMY</v>
          </cell>
          <cell r="C120" t="str">
            <v>ACMIU</v>
          </cell>
          <cell r="D120" t="str">
            <v>AC</v>
          </cell>
          <cell r="E120">
            <v>3000</v>
          </cell>
        </row>
        <row r="121">
          <cell r="A121">
            <v>8903287200250</v>
          </cell>
          <cell r="B121" t="str">
            <v>SPLIT AC 2.0 T IACI24SD3G3C-IDU-DUMMY</v>
          </cell>
          <cell r="C121" t="str">
            <v>ACMIU</v>
          </cell>
          <cell r="D121" t="str">
            <v>AC</v>
          </cell>
          <cell r="E121">
            <v>3200</v>
          </cell>
        </row>
        <row r="122">
          <cell r="A122">
            <v>8903287200267</v>
          </cell>
          <cell r="B122" t="str">
            <v>SPLIT AC 1.5 T IACI18GD3G3C-IDU-DUMMY</v>
          </cell>
          <cell r="C122" t="str">
            <v>ACMIU</v>
          </cell>
          <cell r="D122" t="str">
            <v>AC</v>
          </cell>
          <cell r="E122">
            <v>3000</v>
          </cell>
        </row>
        <row r="123">
          <cell r="A123">
            <v>8903287200274</v>
          </cell>
          <cell r="B123" t="str">
            <v>SPLIT AC 1.5 T IACI18GD5G3C-IDU-DUMMY</v>
          </cell>
          <cell r="C123" t="str">
            <v>ACMIU</v>
          </cell>
          <cell r="D123" t="str">
            <v>AC</v>
          </cell>
          <cell r="E123">
            <v>3000</v>
          </cell>
        </row>
        <row r="124">
          <cell r="A124">
            <v>8903287200281</v>
          </cell>
          <cell r="B124" t="str">
            <v>SPLIT AC 2.0 T IACI24GD3G3C-IDU-DUMMY</v>
          </cell>
          <cell r="C124" t="str">
            <v>ACMIU</v>
          </cell>
          <cell r="D124" t="str">
            <v>AC</v>
          </cell>
          <cell r="E124">
            <v>3200</v>
          </cell>
        </row>
        <row r="125">
          <cell r="A125">
            <v>8903287200304</v>
          </cell>
          <cell r="B125" t="str">
            <v>SPLIT AC 1.5 T IACI18SA3I3C INST–IDU</v>
          </cell>
          <cell r="C125" t="str">
            <v>ACMIU</v>
          </cell>
          <cell r="D125" t="str">
            <v>AC</v>
          </cell>
          <cell r="E125">
            <v>44890</v>
          </cell>
        </row>
        <row r="126">
          <cell r="A126">
            <v>8903287200328</v>
          </cell>
          <cell r="B126" t="str">
            <v>SPLIT AC 1.5 T IACI18SA5G3C1-IDU</v>
          </cell>
          <cell r="C126" t="str">
            <v>ACMIU</v>
          </cell>
          <cell r="D126" t="str">
            <v>AC</v>
          </cell>
          <cell r="E126">
            <v>55890</v>
          </cell>
        </row>
        <row r="127">
          <cell r="A127">
            <v>8903287200342</v>
          </cell>
          <cell r="B127" t="str">
            <v>SPLIT AC 1.5 T IACI18SA3G3C1-IDU</v>
          </cell>
          <cell r="C127" t="str">
            <v>ACMIU</v>
          </cell>
          <cell r="D127" t="str">
            <v>AC</v>
          </cell>
          <cell r="E127">
            <v>49590</v>
          </cell>
        </row>
        <row r="128">
          <cell r="A128">
            <v>8903287200366</v>
          </cell>
          <cell r="B128" t="str">
            <v>SPLIT AC 1.5 T IACI18GB3G3C1-IDU</v>
          </cell>
          <cell r="C128" t="str">
            <v>ACMIU</v>
          </cell>
          <cell r="D128" t="str">
            <v>AC</v>
          </cell>
          <cell r="E128">
            <v>51590</v>
          </cell>
        </row>
        <row r="129">
          <cell r="A129">
            <v>8903287200762</v>
          </cell>
          <cell r="B129" t="str">
            <v>SPLIT AC 1.5 T IAHI18X93G3C-IDU</v>
          </cell>
          <cell r="C129" t="str">
            <v>ACMIU</v>
          </cell>
          <cell r="D129" t="str">
            <v>AC</v>
          </cell>
          <cell r="E129">
            <v>61990</v>
          </cell>
        </row>
        <row r="130">
          <cell r="A130">
            <v>8903287200786</v>
          </cell>
          <cell r="B130" t="str">
            <v>SPLIT AC 2.0 T IAHI24X93G3C-IDU</v>
          </cell>
          <cell r="C130" t="str">
            <v>ACMIU</v>
          </cell>
          <cell r="D130" t="str">
            <v>AC</v>
          </cell>
          <cell r="E130">
            <v>70990</v>
          </cell>
        </row>
        <row r="131">
          <cell r="A131">
            <v>8903287200809</v>
          </cell>
          <cell r="B131" t="str">
            <v>SPLIT AC 2.0 T CI2431B323G3 -IDU</v>
          </cell>
          <cell r="C131" t="str">
            <v>ACMIU</v>
          </cell>
          <cell r="D131" t="str">
            <v>AC</v>
          </cell>
          <cell r="E131">
            <v>63490</v>
          </cell>
        </row>
        <row r="132">
          <cell r="A132">
            <v>8903287200823</v>
          </cell>
          <cell r="B132" t="str">
            <v>SPLIT AC 1.5 T IACI182C3G3C - IDU</v>
          </cell>
          <cell r="C132" t="str">
            <v>ACMIU</v>
          </cell>
          <cell r="D132" t="str">
            <v>AC</v>
          </cell>
          <cell r="E132">
            <v>46390</v>
          </cell>
        </row>
        <row r="133">
          <cell r="A133">
            <v>8903287200847</v>
          </cell>
          <cell r="B133" t="str">
            <v>SPLIT AC 1.5 T IACI18X83T3C-R1 - IDU</v>
          </cell>
          <cell r="C133" t="str">
            <v>ACMIU</v>
          </cell>
          <cell r="D133" t="str">
            <v>AC</v>
          </cell>
          <cell r="E133">
            <v>46990</v>
          </cell>
        </row>
        <row r="134">
          <cell r="A134">
            <v>8903287200861</v>
          </cell>
          <cell r="B134" t="str">
            <v>SPLIT AC 1.5 T IACI18X95T3C-R1-IDU</v>
          </cell>
          <cell r="C134" t="str">
            <v>ACMIU</v>
          </cell>
          <cell r="D134" t="str">
            <v>AC</v>
          </cell>
          <cell r="E134">
            <v>52990</v>
          </cell>
        </row>
        <row r="135">
          <cell r="A135">
            <v>8903287200885</v>
          </cell>
          <cell r="B135" t="str">
            <v>SPLIT AC 2.0 T IACI24X83T3C-R1-IDU</v>
          </cell>
          <cell r="C135" t="str">
            <v>ACMIU</v>
          </cell>
          <cell r="D135" t="str">
            <v>AC</v>
          </cell>
          <cell r="E135">
            <v>56990</v>
          </cell>
        </row>
        <row r="136">
          <cell r="A136">
            <v>8903287200908</v>
          </cell>
          <cell r="B136" t="str">
            <v>SPLIT AC 2.0 T IAHC24JC3T4C-R1-IDU</v>
          </cell>
          <cell r="C136" t="str">
            <v>ACMIU</v>
          </cell>
          <cell r="D136" t="str">
            <v>AC</v>
          </cell>
          <cell r="E136">
            <v>70990</v>
          </cell>
        </row>
        <row r="137">
          <cell r="A137">
            <v>8903287200922</v>
          </cell>
          <cell r="B137" t="str">
            <v>SPLIT AC 1.0 T IACI12BD3G3C - IDU</v>
          </cell>
          <cell r="C137" t="str">
            <v>ACMIU</v>
          </cell>
          <cell r="D137" t="str">
            <v>AC</v>
          </cell>
          <cell r="E137">
            <v>40090</v>
          </cell>
        </row>
        <row r="138">
          <cell r="A138">
            <v>8903287200946</v>
          </cell>
          <cell r="B138" t="str">
            <v>SPLIT AC 1.5 T IACI18BD3G3C - IDU</v>
          </cell>
          <cell r="C138" t="str">
            <v>ACMIU</v>
          </cell>
          <cell r="D138" t="str">
            <v>AC</v>
          </cell>
          <cell r="E138">
            <v>47490</v>
          </cell>
        </row>
        <row r="139">
          <cell r="A139">
            <v>8903287200960</v>
          </cell>
          <cell r="B139" t="str">
            <v>SPLIT AC 1.5 T IACI18BD5G3C - IDU</v>
          </cell>
          <cell r="C139" t="str">
            <v>ACMIU</v>
          </cell>
          <cell r="D139" t="str">
            <v>AC</v>
          </cell>
          <cell r="E139">
            <v>53890</v>
          </cell>
        </row>
        <row r="140">
          <cell r="A140">
            <v>8903287200984</v>
          </cell>
          <cell r="B140" t="str">
            <v>SPLIT AC 2.0 T CI2432D323G3-IDU</v>
          </cell>
          <cell r="C140" t="str">
            <v>ACMIU</v>
          </cell>
          <cell r="D140" t="str">
            <v>AC</v>
          </cell>
          <cell r="E140">
            <v>62990</v>
          </cell>
        </row>
        <row r="141">
          <cell r="A141">
            <v>8903287201066</v>
          </cell>
          <cell r="B141" t="str">
            <v>SPLIT AC 1.5 T IACI18BD3G3C1 - IDU</v>
          </cell>
          <cell r="C141" t="str">
            <v>ACMIU</v>
          </cell>
          <cell r="D141" t="str">
            <v>AC</v>
          </cell>
          <cell r="E141">
            <v>47490</v>
          </cell>
        </row>
        <row r="142">
          <cell r="A142">
            <v>8903287201080</v>
          </cell>
          <cell r="B142" t="str">
            <v>SPLIT AC 1.5 T IACI18SA3G3C2 - IDU</v>
          </cell>
          <cell r="C142" t="str">
            <v>ACMIU</v>
          </cell>
          <cell r="D142" t="str">
            <v>AC</v>
          </cell>
          <cell r="E142">
            <v>49590</v>
          </cell>
        </row>
        <row r="143">
          <cell r="A143">
            <v>8903287201127</v>
          </cell>
          <cell r="B143" t="str">
            <v>SPLIT AC 2.0 T CI2433A323G3-IDU</v>
          </cell>
          <cell r="C143" t="str">
            <v>ACMIU</v>
          </cell>
          <cell r="D143" t="str">
            <v>AC</v>
          </cell>
          <cell r="E143">
            <v>62990</v>
          </cell>
        </row>
        <row r="144">
          <cell r="A144">
            <v>8903287201141</v>
          </cell>
          <cell r="B144" t="str">
            <v>SPLIT AC 1.5 T IACI18DD5G3C - IDU- DUMMY</v>
          </cell>
          <cell r="C144" t="str">
            <v>ACMIU</v>
          </cell>
          <cell r="D144" t="str">
            <v>AC</v>
          </cell>
          <cell r="E144">
            <v>3000</v>
          </cell>
        </row>
        <row r="145">
          <cell r="A145">
            <v>8903287201158</v>
          </cell>
          <cell r="B145" t="str">
            <v>SPLIT AC 1.0 T IACI12DD3G3C - IDU- DUMMY</v>
          </cell>
          <cell r="C145" t="str">
            <v>ACMIU</v>
          </cell>
          <cell r="D145" t="str">
            <v>AC</v>
          </cell>
          <cell r="E145">
            <v>2700</v>
          </cell>
        </row>
        <row r="146">
          <cell r="A146">
            <v>8903287201165</v>
          </cell>
          <cell r="B146" t="str">
            <v>SPLIT AC 1.5 T IACI18DD3G3C - IDU- DUMMY</v>
          </cell>
          <cell r="C146" t="str">
            <v>ACMIU</v>
          </cell>
          <cell r="D146" t="str">
            <v>AC</v>
          </cell>
          <cell r="E146">
            <v>3000</v>
          </cell>
        </row>
        <row r="147">
          <cell r="A147">
            <v>8903287201172</v>
          </cell>
          <cell r="B147" t="str">
            <v>SPLIT AC 1.5 T IACI18SA5I3C INST - IDU</v>
          </cell>
          <cell r="C147" t="str">
            <v>ACMIU</v>
          </cell>
          <cell r="D147" t="str">
            <v>AC</v>
          </cell>
          <cell r="E147">
            <v>50990</v>
          </cell>
        </row>
        <row r="148">
          <cell r="A148">
            <v>8903287201196</v>
          </cell>
          <cell r="B148" t="str">
            <v>SPLIT AC 2.0 T CI2433F323G3-IDU</v>
          </cell>
          <cell r="C148" t="str">
            <v>ACMIU</v>
          </cell>
          <cell r="D148" t="str">
            <v>AC</v>
          </cell>
          <cell r="E148">
            <v>64490</v>
          </cell>
        </row>
        <row r="149">
          <cell r="A149">
            <v>8903287201219</v>
          </cell>
          <cell r="B149" t="str">
            <v>SPLIT AC 1.0 T IACI123F3G3C - IDU</v>
          </cell>
          <cell r="C149" t="str">
            <v>ACMIU</v>
          </cell>
          <cell r="D149" t="str">
            <v>AC</v>
          </cell>
          <cell r="E149">
            <v>37490</v>
          </cell>
        </row>
        <row r="150">
          <cell r="A150">
            <v>8903287201233</v>
          </cell>
          <cell r="B150" t="str">
            <v>SPLIT AC 1.5 T IACI183F3G3C - IDU</v>
          </cell>
          <cell r="C150" t="str">
            <v>ACMIU</v>
          </cell>
          <cell r="D150" t="str">
            <v>AC</v>
          </cell>
          <cell r="E150">
            <v>45690</v>
          </cell>
        </row>
        <row r="151">
          <cell r="A151">
            <v>8903287201257</v>
          </cell>
          <cell r="B151" t="str">
            <v>SPLIT AC 1.5 T IACI183F5G3C - IDU</v>
          </cell>
          <cell r="C151" t="str">
            <v>ACMIU</v>
          </cell>
          <cell r="D151" t="str">
            <v>AC</v>
          </cell>
          <cell r="E151">
            <v>52090</v>
          </cell>
        </row>
        <row r="152">
          <cell r="A152">
            <v>8903287201271</v>
          </cell>
          <cell r="B152" t="str">
            <v>SPLIT AC 2.0 T CI2434X323G3-IDU</v>
          </cell>
          <cell r="C152" t="str">
            <v>ACMIU</v>
          </cell>
          <cell r="D152" t="str">
            <v>AC</v>
          </cell>
          <cell r="E152">
            <v>59990</v>
          </cell>
        </row>
        <row r="153">
          <cell r="A153">
            <v>8903287201295</v>
          </cell>
          <cell r="B153" t="str">
            <v>SPLIT AC 1.0 T IACI123E3G3C - IDU</v>
          </cell>
          <cell r="C153" t="str">
            <v>ACMIU</v>
          </cell>
          <cell r="D153" t="str">
            <v>AC</v>
          </cell>
          <cell r="E153">
            <v>37490</v>
          </cell>
        </row>
        <row r="154">
          <cell r="A154">
            <v>8903287201318</v>
          </cell>
          <cell r="B154" t="str">
            <v>SPLIT AC 1.5 T IACI183E3G3C - IDU</v>
          </cell>
          <cell r="C154" t="str">
            <v>ACMIU</v>
          </cell>
          <cell r="D154" t="str">
            <v>AC</v>
          </cell>
          <cell r="E154">
            <v>45690</v>
          </cell>
        </row>
        <row r="155">
          <cell r="A155">
            <v>8903287201332</v>
          </cell>
          <cell r="B155" t="str">
            <v>SPLIT AC 1.5 T IACI183E5G3C - IDU</v>
          </cell>
          <cell r="C155" t="str">
            <v>ACMIU</v>
          </cell>
          <cell r="D155" t="str">
            <v>AC</v>
          </cell>
          <cell r="E155">
            <v>52090</v>
          </cell>
        </row>
        <row r="156">
          <cell r="A156">
            <v>8903287201356</v>
          </cell>
          <cell r="B156" t="str">
            <v>SPLIT AC 1.5 T CI2053F323G1 - IDU</v>
          </cell>
          <cell r="C156" t="str">
            <v>ACMIU</v>
          </cell>
          <cell r="D156" t="str">
            <v>AC</v>
          </cell>
          <cell r="E156">
            <v>58990</v>
          </cell>
        </row>
        <row r="157">
          <cell r="A157">
            <v>8903287201370</v>
          </cell>
          <cell r="B157" t="str">
            <v>SPLIT AC 1.0 T IACI122C3G3C - IDU</v>
          </cell>
          <cell r="C157" t="str">
            <v>ACMIU</v>
          </cell>
          <cell r="D157" t="str">
            <v>AC</v>
          </cell>
          <cell r="E157">
            <v>39090</v>
          </cell>
        </row>
        <row r="158">
          <cell r="A158">
            <v>8903287201394</v>
          </cell>
          <cell r="B158" t="str">
            <v>SPLIT AC 1.5 T IACI182C3G3C1 - IDU</v>
          </cell>
          <cell r="C158" t="str">
            <v>ACMIU</v>
          </cell>
          <cell r="D158" t="str">
            <v>AC</v>
          </cell>
          <cell r="E158">
            <v>46390</v>
          </cell>
        </row>
        <row r="159">
          <cell r="A159">
            <v>8903287201417</v>
          </cell>
          <cell r="B159" t="str">
            <v>SPLIT AC 1.5 T IACI182C5G3C - IDU</v>
          </cell>
          <cell r="C159" t="str">
            <v>ACMIU</v>
          </cell>
          <cell r="D159" t="str">
            <v>AC</v>
          </cell>
          <cell r="E159">
            <v>52890</v>
          </cell>
        </row>
        <row r="160">
          <cell r="A160">
            <v>8903287201431</v>
          </cell>
          <cell r="B160" t="str">
            <v>SPLIT AC 2.0 T IACI242C3G3C - IDU</v>
          </cell>
          <cell r="C160" t="str">
            <v>ACMIU</v>
          </cell>
          <cell r="D160" t="str">
            <v>AC</v>
          </cell>
          <cell r="E160">
            <v>57590</v>
          </cell>
        </row>
        <row r="161">
          <cell r="A161">
            <v>8903287201509</v>
          </cell>
          <cell r="B161" t="str">
            <v>SPLIT AC 1.5 T IAHI18TP3G3C - IDU</v>
          </cell>
          <cell r="C161" t="str">
            <v>ACMIU</v>
          </cell>
          <cell r="D161" t="str">
            <v>AC</v>
          </cell>
          <cell r="E161">
            <v>61990</v>
          </cell>
        </row>
        <row r="162">
          <cell r="A162">
            <v>8903287201523</v>
          </cell>
          <cell r="B162" t="str">
            <v>SPLIT AC 1.5 T CI1832A223G2 - IDU</v>
          </cell>
          <cell r="C162" t="str">
            <v>ACMIU</v>
          </cell>
          <cell r="D162" t="str">
            <v>AC</v>
          </cell>
          <cell r="E162">
            <v>51090</v>
          </cell>
        </row>
        <row r="163">
          <cell r="A163">
            <v>8903287201547</v>
          </cell>
          <cell r="B163" t="str">
            <v>SPLIT AC 1.5 T CI1832A223G4- IDU</v>
          </cell>
          <cell r="C163" t="str">
            <v>ACMIU</v>
          </cell>
          <cell r="D163" t="str">
            <v>AC</v>
          </cell>
          <cell r="E163">
            <v>50340</v>
          </cell>
        </row>
        <row r="164">
          <cell r="A164">
            <v>8903287201561</v>
          </cell>
          <cell r="B164" t="str">
            <v>SPLIT AC 1.5 T CI1832D223G3- IDU</v>
          </cell>
          <cell r="C164" t="str">
            <v>ACMIU</v>
          </cell>
          <cell r="D164" t="str">
            <v>AC</v>
          </cell>
          <cell r="E164">
            <v>47790</v>
          </cell>
        </row>
        <row r="165">
          <cell r="A165">
            <v>8903287201585</v>
          </cell>
          <cell r="B165" t="str">
            <v>SPLIT AC 1.5 T CI1832C223G3- IDU</v>
          </cell>
          <cell r="C165" t="str">
            <v>ACMIU</v>
          </cell>
          <cell r="D165" t="str">
            <v>AC</v>
          </cell>
          <cell r="E165">
            <v>47490</v>
          </cell>
        </row>
        <row r="166">
          <cell r="A166">
            <v>8903287201608</v>
          </cell>
          <cell r="B166" t="str">
            <v>SPLIT AC 1.5 T CI1833E223G3- IDU</v>
          </cell>
          <cell r="C166" t="str">
            <v>ACMIU</v>
          </cell>
          <cell r="D166" t="str">
            <v>AC</v>
          </cell>
          <cell r="E166">
            <v>47790</v>
          </cell>
        </row>
        <row r="167">
          <cell r="A167">
            <v>8903287201622</v>
          </cell>
          <cell r="B167" t="str">
            <v>SPLIT AC 1.5 T CI1833F223G3- IDU</v>
          </cell>
          <cell r="C167" t="str">
            <v>ACMIU</v>
          </cell>
          <cell r="D167" t="str">
            <v>AC</v>
          </cell>
          <cell r="E167">
            <v>48290</v>
          </cell>
        </row>
        <row r="168">
          <cell r="A168">
            <v>8903287201646</v>
          </cell>
          <cell r="B168" t="str">
            <v>SPLIT AC 1.5 T CI1833A223G3- IDU</v>
          </cell>
          <cell r="C168" t="str">
            <v>ACMIU</v>
          </cell>
          <cell r="D168" t="str">
            <v>AC</v>
          </cell>
          <cell r="E168">
            <v>43500</v>
          </cell>
        </row>
        <row r="169">
          <cell r="A169">
            <v>8903287201660</v>
          </cell>
          <cell r="B169" t="str">
            <v>SPLIT AC 1.6 T IACI19GB3G3C - IDU</v>
          </cell>
          <cell r="C169" t="str">
            <v>ACMIU</v>
          </cell>
          <cell r="D169" t="str">
            <v>AC</v>
          </cell>
          <cell r="E169">
            <v>50090</v>
          </cell>
        </row>
        <row r="170">
          <cell r="A170">
            <v>8903287201707</v>
          </cell>
          <cell r="B170" t="str">
            <v>SPLIT AC 2.0 T CI2432A323G1 - IDU</v>
          </cell>
          <cell r="C170" t="str">
            <v>ACMIU</v>
          </cell>
          <cell r="D170" t="str">
            <v>AC</v>
          </cell>
          <cell r="E170">
            <v>62090</v>
          </cell>
        </row>
        <row r="171">
          <cell r="A171">
            <v>8903287201721</v>
          </cell>
          <cell r="B171" t="str">
            <v>SPLIT AC 2.0 T CI2432D323G1 - IDU</v>
          </cell>
          <cell r="C171" t="str">
            <v>ACMIU</v>
          </cell>
          <cell r="D171" t="str">
            <v>AC</v>
          </cell>
          <cell r="E171">
            <v>61240</v>
          </cell>
        </row>
        <row r="172">
          <cell r="A172">
            <v>8903287201745</v>
          </cell>
          <cell r="B172" t="str">
            <v>SPLIT AC 2.0 T CI2432C323G1 - IDU</v>
          </cell>
          <cell r="C172" t="str">
            <v>ACMIU</v>
          </cell>
          <cell r="D172" t="str">
            <v>AC</v>
          </cell>
          <cell r="E172">
            <v>62490</v>
          </cell>
        </row>
        <row r="173">
          <cell r="A173">
            <v>8903287201769</v>
          </cell>
          <cell r="B173" t="str">
            <v>SPLIT AC 2.0 T CI2433E323G1 - IDU</v>
          </cell>
          <cell r="C173" t="str">
            <v>ACMIU</v>
          </cell>
          <cell r="D173" t="str">
            <v>AC</v>
          </cell>
          <cell r="E173">
            <v>61590</v>
          </cell>
        </row>
        <row r="174">
          <cell r="A174">
            <v>8903287201783</v>
          </cell>
          <cell r="B174" t="str">
            <v>SPLIT AC 2.0 T CI2433F323G1 - IDU</v>
          </cell>
          <cell r="C174" t="str">
            <v>ACMIU</v>
          </cell>
          <cell r="D174" t="str">
            <v>AC</v>
          </cell>
          <cell r="E174">
            <v>61590</v>
          </cell>
        </row>
        <row r="175">
          <cell r="A175">
            <v>8903287201806</v>
          </cell>
          <cell r="B175" t="str">
            <v>SPLIT AC 2.0 T CI2433A323G1 - IDU</v>
          </cell>
          <cell r="C175" t="str">
            <v>ACMIU</v>
          </cell>
          <cell r="D175" t="str">
            <v>AC</v>
          </cell>
          <cell r="E175">
            <v>55490</v>
          </cell>
        </row>
        <row r="176">
          <cell r="A176">
            <v>8903287201820</v>
          </cell>
          <cell r="B176" t="str">
            <v>SPLIT AC 1.5 T CI1852A323G1-IDU</v>
          </cell>
          <cell r="C176" t="str">
            <v>ACMIU</v>
          </cell>
          <cell r="D176" t="str">
            <v>AC</v>
          </cell>
          <cell r="E176">
            <v>57390</v>
          </cell>
        </row>
        <row r="177">
          <cell r="A177">
            <v>8903287201844</v>
          </cell>
          <cell r="B177" t="str">
            <v>SPLIT AC 1.5 T CI1852D323G2 - IDU</v>
          </cell>
          <cell r="C177" t="str">
            <v>ACMIU</v>
          </cell>
          <cell r="D177" t="str">
            <v>AC</v>
          </cell>
          <cell r="E177">
            <v>53540</v>
          </cell>
        </row>
        <row r="178">
          <cell r="A178">
            <v>8903287201868</v>
          </cell>
          <cell r="B178" t="str">
            <v>SPLIT AC 1.6 T CI1933F223G1 - IDU</v>
          </cell>
          <cell r="C178" t="str">
            <v>ACMIU</v>
          </cell>
          <cell r="D178" t="str">
            <v>AC</v>
          </cell>
          <cell r="E178">
            <v>54490</v>
          </cell>
        </row>
        <row r="179">
          <cell r="A179">
            <v>8903287201905</v>
          </cell>
          <cell r="B179" t="str">
            <v>SPLIT AC 1.5  CI1833A223G7 - IDU</v>
          </cell>
          <cell r="C179" t="str">
            <v>ACMIU</v>
          </cell>
          <cell r="D179" t="str">
            <v>AC</v>
          </cell>
          <cell r="E179">
            <v>47790</v>
          </cell>
        </row>
        <row r="180">
          <cell r="A180">
            <v>8903287201929</v>
          </cell>
          <cell r="B180" t="str">
            <v>SPLIT AC 2.0 T CI2431G323G3-IDU</v>
          </cell>
          <cell r="C180" t="str">
            <v>ACMIU</v>
          </cell>
          <cell r="D180" t="str">
            <v>AC</v>
          </cell>
          <cell r="E180">
            <v>63490</v>
          </cell>
        </row>
        <row r="181">
          <cell r="A181">
            <v>8903287201943</v>
          </cell>
          <cell r="B181" t="str">
            <v>SPLIT AC 1.0 T IACI12SA3G3C1 - IDU</v>
          </cell>
          <cell r="C181" t="str">
            <v>ACMIU</v>
          </cell>
          <cell r="D181" t="str">
            <v>AC</v>
          </cell>
          <cell r="E181">
            <v>42190</v>
          </cell>
        </row>
        <row r="182">
          <cell r="A182">
            <v>8903287201967</v>
          </cell>
          <cell r="B182" t="str">
            <v>SPLIT AC 1.0 T IACI12BD3G3C1 - IDU</v>
          </cell>
          <cell r="C182" t="str">
            <v>ACMIU</v>
          </cell>
          <cell r="D182" t="str">
            <v>AC</v>
          </cell>
          <cell r="E182">
            <v>40090</v>
          </cell>
        </row>
        <row r="183">
          <cell r="A183">
            <v>8903287201981</v>
          </cell>
          <cell r="B183" t="str">
            <v>SPLIT AC 1.0 T IACI122C3G3C1 - IDU</v>
          </cell>
          <cell r="C183" t="str">
            <v>ACMIU</v>
          </cell>
          <cell r="D183" t="str">
            <v>AC</v>
          </cell>
          <cell r="E183">
            <v>39090</v>
          </cell>
        </row>
        <row r="184">
          <cell r="A184">
            <v>8903287202001</v>
          </cell>
          <cell r="B184" t="str">
            <v>SPLIT AC 1.0 T IACI123E3G3C1 - IDU</v>
          </cell>
          <cell r="C184" t="str">
            <v>ACMIU</v>
          </cell>
          <cell r="D184" t="str">
            <v>AC</v>
          </cell>
          <cell r="E184">
            <v>38390</v>
          </cell>
        </row>
        <row r="185">
          <cell r="A185">
            <v>8903287202025</v>
          </cell>
          <cell r="B185" t="str">
            <v>SPLIT AC 1.0 T IACI123F3G3C1 - IDU</v>
          </cell>
          <cell r="C185" t="str">
            <v>ACMIU</v>
          </cell>
          <cell r="D185" t="str">
            <v>AC</v>
          </cell>
          <cell r="E185">
            <v>38390</v>
          </cell>
        </row>
        <row r="186">
          <cell r="A186">
            <v>8903287202049</v>
          </cell>
          <cell r="B186" t="str">
            <v>SPLIT AC 1.0 T IACI12SA3I3C1 - IDU</v>
          </cell>
          <cell r="C186" t="str">
            <v>ACMIU</v>
          </cell>
          <cell r="D186" t="str">
            <v>AC</v>
          </cell>
          <cell r="E186">
            <v>40950</v>
          </cell>
        </row>
        <row r="187">
          <cell r="A187">
            <v>8903287202063</v>
          </cell>
          <cell r="B187" t="str">
            <v>SPLIT AC 1.0 T CI1232A113G1 - IDU</v>
          </cell>
          <cell r="C187" t="str">
            <v>ACMIU</v>
          </cell>
          <cell r="D187" t="str">
            <v>AC</v>
          </cell>
          <cell r="E187">
            <v>42440</v>
          </cell>
        </row>
        <row r="188">
          <cell r="A188">
            <v>8903287202087</v>
          </cell>
          <cell r="B188" t="str">
            <v>SPLIT AC 1.0 T CI1232D113G1 - IDU</v>
          </cell>
          <cell r="C188" t="str">
            <v>ACMIU</v>
          </cell>
          <cell r="D188" t="str">
            <v>AC</v>
          </cell>
          <cell r="E188">
            <v>39940</v>
          </cell>
        </row>
        <row r="189">
          <cell r="A189">
            <v>8903287202100</v>
          </cell>
          <cell r="B189" t="str">
            <v>SPLIT AC 1.0 T CI1232C113G1 - IDU</v>
          </cell>
          <cell r="C189" t="str">
            <v>ACMIU</v>
          </cell>
          <cell r="D189" t="str">
            <v>AC</v>
          </cell>
          <cell r="E189">
            <v>39390</v>
          </cell>
        </row>
        <row r="190">
          <cell r="A190">
            <v>8903287202124</v>
          </cell>
          <cell r="B190" t="str">
            <v>SPLIT AC 1.0 T CI1233E113G1 - IDU</v>
          </cell>
          <cell r="C190" t="str">
            <v>ACMIU</v>
          </cell>
          <cell r="D190" t="str">
            <v>AC</v>
          </cell>
          <cell r="E190">
            <v>40590</v>
          </cell>
        </row>
        <row r="191">
          <cell r="A191">
            <v>8903287202148</v>
          </cell>
          <cell r="B191" t="str">
            <v>SPLIT AC 1.0 T CI1233F113G1 - IDU</v>
          </cell>
          <cell r="C191" t="str">
            <v>ACMIU</v>
          </cell>
          <cell r="D191" t="str">
            <v>AC</v>
          </cell>
          <cell r="E191">
            <v>40590</v>
          </cell>
        </row>
        <row r="192">
          <cell r="A192">
            <v>8903287202162</v>
          </cell>
          <cell r="B192" t="str">
            <v>SPLIT AC 1.0 T CI1233A113G1 - IDU</v>
          </cell>
          <cell r="C192" t="str">
            <v>ACMIU</v>
          </cell>
          <cell r="D192" t="str">
            <v>AC</v>
          </cell>
          <cell r="E192">
            <v>37500</v>
          </cell>
        </row>
        <row r="193">
          <cell r="A193">
            <v>8903287202391</v>
          </cell>
          <cell r="B193" t="str">
            <v>SPLIT AC 1.5T CI1841G223G1 - IDU</v>
          </cell>
          <cell r="C193" t="str">
            <v>ACMIU</v>
          </cell>
          <cell r="D193" t="str">
            <v>AC</v>
          </cell>
          <cell r="E193">
            <v>53390</v>
          </cell>
        </row>
        <row r="194">
          <cell r="A194">
            <v>8903287202414</v>
          </cell>
          <cell r="B194" t="str">
            <v>SPLIT AC 1.0 T IACI12SA3G3C1-R1 - IDU</v>
          </cell>
          <cell r="C194" t="str">
            <v>ACMIU</v>
          </cell>
          <cell r="D194" t="str">
            <v>AC</v>
          </cell>
          <cell r="E194">
            <v>42190</v>
          </cell>
        </row>
        <row r="195">
          <cell r="A195">
            <v>8903287202438</v>
          </cell>
          <cell r="B195" t="str">
            <v>SPLIT AC 1.0 T IACI122C3G3C1-R1 - IDU</v>
          </cell>
          <cell r="C195" t="str">
            <v>ACMIU</v>
          </cell>
          <cell r="D195" t="str">
            <v>AC</v>
          </cell>
          <cell r="E195">
            <v>39090</v>
          </cell>
        </row>
        <row r="196">
          <cell r="A196">
            <v>8903287202476</v>
          </cell>
          <cell r="B196" t="str">
            <v>SPLIT AC 1.5 T CI1851G323G1 - IDU</v>
          </cell>
          <cell r="C196" t="str">
            <v>ACMIU</v>
          </cell>
          <cell r="D196" t="str">
            <v>AC</v>
          </cell>
          <cell r="E196">
            <v>61290</v>
          </cell>
        </row>
        <row r="197">
          <cell r="A197">
            <v>8903287202575</v>
          </cell>
          <cell r="B197" t="str">
            <v>SPLIT AC 1.5 T CI1852A323G2 - IDU</v>
          </cell>
          <cell r="C197" t="str">
            <v>ACMIU</v>
          </cell>
          <cell r="D197" t="str">
            <v>AC</v>
          </cell>
          <cell r="E197">
            <v>57640</v>
          </cell>
        </row>
        <row r="198">
          <cell r="A198">
            <v>8903287202612</v>
          </cell>
          <cell r="B198" t="str">
            <v>SPLIT AC 1.5 T CI1852C323G2 - IDU</v>
          </cell>
          <cell r="C198" t="str">
            <v>ACMIU</v>
          </cell>
          <cell r="D198" t="str">
            <v>AC</v>
          </cell>
          <cell r="E198">
            <v>52990</v>
          </cell>
        </row>
        <row r="199">
          <cell r="A199">
            <v>8903287202636</v>
          </cell>
          <cell r="B199" t="str">
            <v>SPLIT AC 1.5 T CI1853F323G2 - IDU</v>
          </cell>
          <cell r="C199" t="str">
            <v>ACMIU</v>
          </cell>
          <cell r="D199" t="str">
            <v>AC</v>
          </cell>
          <cell r="E199">
            <v>54890</v>
          </cell>
        </row>
        <row r="200">
          <cell r="A200">
            <v>8903287202650</v>
          </cell>
          <cell r="B200" t="str">
            <v>SPLIT AC 1.5 T CI1853E323G2 - IDU</v>
          </cell>
          <cell r="C200" t="str">
            <v>ACMIU</v>
          </cell>
          <cell r="D200" t="str">
            <v>AC</v>
          </cell>
          <cell r="E200">
            <v>54890</v>
          </cell>
        </row>
        <row r="201">
          <cell r="A201">
            <v>8903287202674</v>
          </cell>
          <cell r="B201" t="str">
            <v>SPLIT AC 1.5 T CI1853A323G2 - IDU</v>
          </cell>
          <cell r="C201" t="str">
            <v>ACMIU</v>
          </cell>
          <cell r="D201" t="str">
            <v>AC</v>
          </cell>
          <cell r="E201">
            <v>51690</v>
          </cell>
        </row>
        <row r="202">
          <cell r="A202">
            <v>8903287202698</v>
          </cell>
          <cell r="B202" t="str">
            <v>SPLIT AC 1.5 T CI1854X323G2 - IDU</v>
          </cell>
          <cell r="C202" t="str">
            <v>ACMIU</v>
          </cell>
          <cell r="D202" t="str">
            <v>AC</v>
          </cell>
          <cell r="E202">
            <v>53540</v>
          </cell>
        </row>
        <row r="203">
          <cell r="A203">
            <v>8903287202711</v>
          </cell>
          <cell r="B203" t="str">
            <v>SPLIT AC 1.5 T CI1854Y323G2 - IDU</v>
          </cell>
          <cell r="C203" t="str">
            <v>ACMIU</v>
          </cell>
          <cell r="D203" t="str">
            <v>AC</v>
          </cell>
          <cell r="E203">
            <v>52990</v>
          </cell>
        </row>
        <row r="204">
          <cell r="A204">
            <v>8903287202797</v>
          </cell>
          <cell r="B204" t="str">
            <v>SPLIT AC 1.5 T CI1832C223G4 - IDU</v>
          </cell>
          <cell r="C204" t="str">
            <v>ACMIU</v>
          </cell>
          <cell r="D204" t="str">
            <v>AC</v>
          </cell>
          <cell r="E204">
            <v>49140</v>
          </cell>
        </row>
        <row r="205">
          <cell r="A205">
            <v>8903287203053</v>
          </cell>
          <cell r="B205" t="str">
            <v>SPLIT AC 1.5 T CI1844X223G1 - IDU</v>
          </cell>
          <cell r="C205" t="str">
            <v>ACMIU</v>
          </cell>
          <cell r="D205" t="str">
            <v>AC</v>
          </cell>
          <cell r="E205">
            <v>49890</v>
          </cell>
        </row>
        <row r="206">
          <cell r="A206">
            <v>8903287203299</v>
          </cell>
          <cell r="B206" t="str">
            <v>SPLIT AC 1.0 T IACI12DC3G3C - IDU- DUMMY</v>
          </cell>
          <cell r="C206" t="str">
            <v>ACMIU</v>
          </cell>
          <cell r="D206" t="str">
            <v>AC</v>
          </cell>
          <cell r="E206">
            <v>2700</v>
          </cell>
        </row>
        <row r="207">
          <cell r="A207">
            <v>8903287203305</v>
          </cell>
          <cell r="B207" t="str">
            <v>SPLIT AC 1.5 T IACI18DC3G3C - IDU- DUMMY</v>
          </cell>
          <cell r="C207" t="str">
            <v>ACMIU</v>
          </cell>
          <cell r="D207" t="str">
            <v>AC</v>
          </cell>
          <cell r="E207">
            <v>3000</v>
          </cell>
        </row>
        <row r="208">
          <cell r="A208">
            <v>8903287203312</v>
          </cell>
          <cell r="B208" t="str">
            <v>SPLIT AC 1.5 T IACI18DC5G3C - IDU- DUMMY</v>
          </cell>
          <cell r="C208" t="str">
            <v>ACMIU</v>
          </cell>
          <cell r="D208" t="str">
            <v>AC</v>
          </cell>
          <cell r="E208">
            <v>3300</v>
          </cell>
        </row>
        <row r="209">
          <cell r="A209">
            <v>8903287203329</v>
          </cell>
          <cell r="B209" t="str">
            <v>SPLIT AC 1.5 T IACI19DG3G3C - IDU- DUMMY</v>
          </cell>
          <cell r="C209" t="str">
            <v>ACMIU</v>
          </cell>
          <cell r="D209" t="str">
            <v>AC</v>
          </cell>
          <cell r="E209">
            <v>3500</v>
          </cell>
        </row>
        <row r="210">
          <cell r="A210">
            <v>8903287203336</v>
          </cell>
          <cell r="B210" t="str">
            <v>SPLIT AC 1.5 T IACI18DG5G3C - IDU- DUMMY</v>
          </cell>
          <cell r="C210" t="str">
            <v>ACMIU</v>
          </cell>
          <cell r="D210" t="str">
            <v>AC</v>
          </cell>
          <cell r="E210">
            <v>3800</v>
          </cell>
        </row>
        <row r="211">
          <cell r="A211">
            <v>8903287203367</v>
          </cell>
          <cell r="B211" t="str">
            <v>SPLIT AC 1.0 T 5S CI1251G213G1 - IDU</v>
          </cell>
          <cell r="C211" t="str">
            <v>ACMIU</v>
          </cell>
          <cell r="D211" t="str">
            <v>AC</v>
          </cell>
          <cell r="E211">
            <v>52990</v>
          </cell>
        </row>
        <row r="212">
          <cell r="A212">
            <v>8903287203541</v>
          </cell>
          <cell r="B212" t="str">
            <v>SPLIT AC 1.5 T CI1831B223G3 - IDU</v>
          </cell>
          <cell r="C212" t="str">
            <v>ACMIU</v>
          </cell>
          <cell r="D212" t="str">
            <v>AC</v>
          </cell>
          <cell r="E212">
            <v>47790</v>
          </cell>
        </row>
        <row r="213">
          <cell r="A213">
            <v>8903287203602</v>
          </cell>
          <cell r="B213" t="str">
            <v>SPLIT AC 1.5 T CI1834Y223G3- IDU</v>
          </cell>
          <cell r="C213" t="str">
            <v>ACMIU</v>
          </cell>
          <cell r="D213" t="str">
            <v>AC</v>
          </cell>
          <cell r="E213">
            <v>45490</v>
          </cell>
        </row>
        <row r="214">
          <cell r="A214">
            <v>8903287203725</v>
          </cell>
          <cell r="B214" t="str">
            <v>SPLIT AC 2.0 T CI2434Y323G1 - IDU</v>
          </cell>
          <cell r="C214" t="str">
            <v>ACMIU</v>
          </cell>
          <cell r="D214" t="str">
            <v>AC</v>
          </cell>
          <cell r="E214">
            <v>59590</v>
          </cell>
        </row>
        <row r="215">
          <cell r="A215">
            <v>8903287203879</v>
          </cell>
          <cell r="B215" t="str">
            <v>SPLIT AC 1.0 T CI1234Y113G1 - IDU</v>
          </cell>
          <cell r="C215" t="str">
            <v>ACMIU</v>
          </cell>
          <cell r="D215" t="str">
            <v>AC</v>
          </cell>
          <cell r="E215">
            <v>38990</v>
          </cell>
        </row>
        <row r="216">
          <cell r="A216">
            <v>8903287203893</v>
          </cell>
          <cell r="B216" t="str">
            <v>SPLIT AC 1.0 T CI1234Z113G1 - IDU</v>
          </cell>
          <cell r="C216" t="str">
            <v>ACMIU</v>
          </cell>
          <cell r="D216" t="str">
            <v>AC</v>
          </cell>
          <cell r="E216">
            <v>39940</v>
          </cell>
        </row>
        <row r="217">
          <cell r="A217">
            <v>8903287204036</v>
          </cell>
          <cell r="B217" t="str">
            <v>SPLIT AC 1.6 T CI1931G223G1 - IDU</v>
          </cell>
          <cell r="C217" t="str">
            <v>ACMIU</v>
          </cell>
          <cell r="D217" t="str">
            <v>AC</v>
          </cell>
          <cell r="E217">
            <v>53490</v>
          </cell>
        </row>
        <row r="218">
          <cell r="A218">
            <v>8903287204159</v>
          </cell>
          <cell r="B218" t="str">
            <v>SPLIT AC 1.6 T CI1933A223G1 - IDU</v>
          </cell>
          <cell r="C218" t="str">
            <v>ACMIU</v>
          </cell>
          <cell r="D218" t="str">
            <v>AC</v>
          </cell>
          <cell r="E218">
            <v>52490</v>
          </cell>
        </row>
        <row r="219">
          <cell r="A219">
            <v>8903287204173</v>
          </cell>
          <cell r="B219" t="str">
            <v>SPLIT AC 1.6 T CI1934X223G1 - IDU</v>
          </cell>
          <cell r="C219" t="str">
            <v>ACMIU</v>
          </cell>
          <cell r="D219" t="str">
            <v>AC</v>
          </cell>
          <cell r="E219">
            <v>50490</v>
          </cell>
        </row>
        <row r="220">
          <cell r="A220">
            <v>8903287204234</v>
          </cell>
          <cell r="B220" t="str">
            <v>SPLIT AC 1.2 T CI1441G213G1 - IDU</v>
          </cell>
          <cell r="C220" t="str">
            <v>ACMIU</v>
          </cell>
          <cell r="D220" t="str">
            <v>AC</v>
          </cell>
          <cell r="E220">
            <v>49990</v>
          </cell>
        </row>
        <row r="221">
          <cell r="A221">
            <v>8903287204371</v>
          </cell>
          <cell r="B221" t="str">
            <v>SPLIT AC 1.2 T CI1444X213G3 - IDU</v>
          </cell>
          <cell r="C221" t="str">
            <v>ACMIU</v>
          </cell>
          <cell r="D221" t="str">
            <v>AC</v>
          </cell>
          <cell r="E221">
            <v>46390</v>
          </cell>
        </row>
        <row r="222">
          <cell r="A222">
            <v>8903287204494</v>
          </cell>
          <cell r="B222" t="str">
            <v>SPLIT AC 2.0 T CI2434Z323G1 - IDU</v>
          </cell>
          <cell r="C222" t="str">
            <v>ACMIU</v>
          </cell>
          <cell r="D222" t="str">
            <v>AC</v>
          </cell>
          <cell r="E222">
            <v>61240</v>
          </cell>
        </row>
        <row r="223">
          <cell r="A223">
            <v>8903287204616</v>
          </cell>
          <cell r="B223" t="str">
            <v>SPLIT AC 1.0 T CI123DH113G1- IDU- DUMMY</v>
          </cell>
          <cell r="C223" t="str">
            <v>ACMIU</v>
          </cell>
          <cell r="D223" t="str">
            <v>AC</v>
          </cell>
          <cell r="E223">
            <v>2700</v>
          </cell>
        </row>
        <row r="224">
          <cell r="A224">
            <v>8903287204623</v>
          </cell>
          <cell r="B224" t="str">
            <v>SPLIT AC 1.5 T IACI18DH3G3C - IDU- DUMMY</v>
          </cell>
          <cell r="C224" t="str">
            <v>ACMIU</v>
          </cell>
          <cell r="D224" t="str">
            <v>AC</v>
          </cell>
          <cell r="E224">
            <v>3000</v>
          </cell>
        </row>
        <row r="225">
          <cell r="A225">
            <v>8903287204630</v>
          </cell>
          <cell r="B225" t="str">
            <v>SPLIT AC 1.5 T CI185DH323G1- IDU- DUMMY</v>
          </cell>
          <cell r="C225" t="str">
            <v>ACMIU</v>
          </cell>
          <cell r="D225" t="str">
            <v>AC</v>
          </cell>
          <cell r="E225">
            <v>3300</v>
          </cell>
        </row>
        <row r="226">
          <cell r="A226">
            <v>8903287204784</v>
          </cell>
          <cell r="B226" t="str">
            <v>SPLIT AC 1.5 T CI1831B223G5 - IDU</v>
          </cell>
          <cell r="C226" t="str">
            <v>ACMIU</v>
          </cell>
          <cell r="D226" t="str">
            <v>AC</v>
          </cell>
          <cell r="E226">
            <v>50790</v>
          </cell>
        </row>
        <row r="227">
          <cell r="A227">
            <v>8903287204807</v>
          </cell>
          <cell r="B227" t="str">
            <v>SPLIT AC 1.5 T CI1831G223G5 - IDU</v>
          </cell>
          <cell r="C227" t="str">
            <v>ACMIU</v>
          </cell>
          <cell r="D227" t="str">
            <v>AC</v>
          </cell>
          <cell r="E227">
            <v>50490</v>
          </cell>
        </row>
        <row r="228">
          <cell r="A228">
            <v>8903287204845</v>
          </cell>
          <cell r="B228" t="str">
            <v>SPLIT AC 1.5 T CI1832D223G5 - IDU</v>
          </cell>
          <cell r="C228" t="str">
            <v>ACMIU</v>
          </cell>
          <cell r="D228" t="str">
            <v>AC</v>
          </cell>
          <cell r="E228">
            <v>49990</v>
          </cell>
        </row>
        <row r="229">
          <cell r="A229">
            <v>8903287204869</v>
          </cell>
          <cell r="B229" t="str">
            <v>SPLIT AC 1.5 T CI1832H223G5 - IDU</v>
          </cell>
          <cell r="C229" t="str">
            <v>ACMIU</v>
          </cell>
          <cell r="D229" t="str">
            <v>AC</v>
          </cell>
          <cell r="E229">
            <v>49990</v>
          </cell>
        </row>
        <row r="230">
          <cell r="A230">
            <v>8903287204883</v>
          </cell>
          <cell r="B230" t="str">
            <v>SPLIT AC 1.5 T CI1832C223G5 - IDU</v>
          </cell>
          <cell r="C230" t="str">
            <v>ACMIU</v>
          </cell>
          <cell r="D230" t="str">
            <v>AC</v>
          </cell>
          <cell r="E230">
            <v>49990</v>
          </cell>
        </row>
        <row r="231">
          <cell r="A231">
            <v>8903287204906</v>
          </cell>
          <cell r="B231" t="str">
            <v>SPLIT AC 1.5 T CI1833F223G5 - IDU</v>
          </cell>
          <cell r="C231" t="str">
            <v>ACMIU</v>
          </cell>
          <cell r="D231" t="str">
            <v>AC</v>
          </cell>
          <cell r="E231">
            <v>51990</v>
          </cell>
        </row>
        <row r="232">
          <cell r="A232">
            <v>8903287204944</v>
          </cell>
          <cell r="B232" t="str">
            <v>SPLIT AC 1.5 T CI1834X223G5 - IDU</v>
          </cell>
          <cell r="C232" t="str">
            <v>ACMIU</v>
          </cell>
          <cell r="D232" t="str">
            <v>AC</v>
          </cell>
          <cell r="E232">
            <v>46490</v>
          </cell>
        </row>
        <row r="233">
          <cell r="A233">
            <v>8903287204968</v>
          </cell>
          <cell r="B233" t="str">
            <v>SPLIT AC 1.5 T CI1833A223G5 - IDU</v>
          </cell>
          <cell r="C233" t="str">
            <v>ACMIU</v>
          </cell>
          <cell r="D233" t="str">
            <v>AC</v>
          </cell>
          <cell r="E233">
            <v>49990</v>
          </cell>
        </row>
        <row r="234">
          <cell r="A234">
            <v>8903287205095</v>
          </cell>
          <cell r="B234" t="str">
            <v>SPLIT AC 1.0 T CI1322C113G1 - IDU</v>
          </cell>
          <cell r="C234" t="str">
            <v>ACMIU</v>
          </cell>
          <cell r="D234" t="str">
            <v>AC</v>
          </cell>
          <cell r="E234">
            <v>39990</v>
          </cell>
        </row>
        <row r="235">
          <cell r="A235">
            <v>8903287205118</v>
          </cell>
          <cell r="B235" t="str">
            <v>SPLIT AC 1.5T IAHI18X23G3C - IDU</v>
          </cell>
          <cell r="C235" t="str">
            <v>ACMIU</v>
          </cell>
          <cell r="D235" t="str">
            <v>AC</v>
          </cell>
          <cell r="E235">
            <v>55990</v>
          </cell>
        </row>
        <row r="236">
          <cell r="A236">
            <v>8903287205132</v>
          </cell>
          <cell r="B236" t="str">
            <v>SPLIT AC 2.0T IAHI24X23G3C - IDU</v>
          </cell>
          <cell r="C236" t="str">
            <v>ACMIU</v>
          </cell>
          <cell r="D236" t="str">
            <v>AC</v>
          </cell>
          <cell r="E236">
            <v>67990</v>
          </cell>
        </row>
        <row r="237">
          <cell r="A237">
            <v>8903287205156</v>
          </cell>
          <cell r="B237" t="str">
            <v>SPLIT AC 1.0 T CI1324X113G1 - IDU</v>
          </cell>
          <cell r="C237" t="str">
            <v>ACMIU</v>
          </cell>
          <cell r="D237" t="str">
            <v>AC</v>
          </cell>
          <cell r="E237">
            <v>37490</v>
          </cell>
        </row>
        <row r="238">
          <cell r="A238">
            <v>8903287205217</v>
          </cell>
          <cell r="B238" t="str">
            <v>SPLIT AC 1.5 T CI2041G323G1 - IDU</v>
          </cell>
          <cell r="C238" t="str">
            <v>ACMIU</v>
          </cell>
          <cell r="D238" t="str">
            <v>AC</v>
          </cell>
          <cell r="E238">
            <v>55490</v>
          </cell>
        </row>
        <row r="239">
          <cell r="A239">
            <v>8903287205231</v>
          </cell>
          <cell r="B239" t="str">
            <v>SPLIT AC 1.5 T CI2043A323G1 - IDU</v>
          </cell>
          <cell r="C239" t="str">
            <v>ACMIU</v>
          </cell>
          <cell r="D239" t="str">
            <v>AC</v>
          </cell>
          <cell r="E239">
            <v>54990</v>
          </cell>
        </row>
        <row r="240">
          <cell r="A240">
            <v>8903287205255</v>
          </cell>
          <cell r="B240" t="str">
            <v>SPLIT AC 1.5 T CI2041B323G1 - IDU</v>
          </cell>
          <cell r="C240" t="str">
            <v>ACMIU</v>
          </cell>
          <cell r="D240" t="str">
            <v>AC</v>
          </cell>
          <cell r="E240">
            <v>56990</v>
          </cell>
        </row>
        <row r="241">
          <cell r="A241">
            <v>8903287205354</v>
          </cell>
          <cell r="B241" t="str">
            <v>SPLIT AC 1.5 T CI2043F323G1 - IDU</v>
          </cell>
          <cell r="C241" t="str">
            <v>ACMIU</v>
          </cell>
          <cell r="D241" t="str">
            <v>AC</v>
          </cell>
          <cell r="E241">
            <v>56490</v>
          </cell>
        </row>
        <row r="242">
          <cell r="A242">
            <v>8903287205439</v>
          </cell>
          <cell r="B242" t="str">
            <v>SPLIT AC 1.0 T CI1331G113G1 -IDU</v>
          </cell>
          <cell r="C242" t="str">
            <v>ACMIU</v>
          </cell>
          <cell r="D242" t="str">
            <v>AC</v>
          </cell>
          <cell r="E242">
            <v>41490</v>
          </cell>
        </row>
        <row r="243">
          <cell r="A243">
            <v>8903287205453</v>
          </cell>
          <cell r="B243" t="str">
            <v>SPLIT AC 1.0 T CI1332D113G1 -IDU</v>
          </cell>
          <cell r="C243" t="str">
            <v>ACMIU</v>
          </cell>
          <cell r="D243" t="str">
            <v>AC</v>
          </cell>
          <cell r="E243">
            <v>40990</v>
          </cell>
        </row>
        <row r="244">
          <cell r="A244">
            <v>8903287205477</v>
          </cell>
          <cell r="B244" t="str">
            <v>SPLIT AC 1.0 T CI1332C113G1 -IDU</v>
          </cell>
          <cell r="C244" t="str">
            <v>ACMIU</v>
          </cell>
          <cell r="D244" t="str">
            <v>AC</v>
          </cell>
          <cell r="E244">
            <v>40990</v>
          </cell>
        </row>
        <row r="245">
          <cell r="A245">
            <v>8903287205491</v>
          </cell>
          <cell r="B245" t="str">
            <v>SPLIT AC 1.0 T CI1333A113G1 -IDU</v>
          </cell>
          <cell r="C245" t="str">
            <v>ACMIU</v>
          </cell>
          <cell r="D245" t="str">
            <v>AC</v>
          </cell>
          <cell r="E245">
            <v>40990</v>
          </cell>
        </row>
        <row r="246">
          <cell r="A246">
            <v>8903287205514</v>
          </cell>
          <cell r="B246" t="str">
            <v>SPLIT AC 1.0 T CI1334X113G1 -IDU</v>
          </cell>
          <cell r="C246" t="str">
            <v>ACMIU</v>
          </cell>
          <cell r="D246" t="str">
            <v>AC</v>
          </cell>
          <cell r="E246">
            <v>38090</v>
          </cell>
        </row>
        <row r="247">
          <cell r="A247">
            <v>8903287205545</v>
          </cell>
          <cell r="B247" t="str">
            <v>SPLIT AC 2.0 T CI2431B323G2 - IDU</v>
          </cell>
          <cell r="C247" t="str">
            <v>ACMIU</v>
          </cell>
          <cell r="D247" t="str">
            <v>AC</v>
          </cell>
          <cell r="E247">
            <v>63490</v>
          </cell>
        </row>
        <row r="248">
          <cell r="A248">
            <v>8903287205569</v>
          </cell>
          <cell r="B248" t="str">
            <v>SPLIT AC 2.0 T CI2431G323G2 - IDU</v>
          </cell>
          <cell r="C248" t="str">
            <v>ACMIU</v>
          </cell>
          <cell r="D248" t="str">
            <v>AC</v>
          </cell>
          <cell r="E248">
            <v>63490</v>
          </cell>
        </row>
        <row r="249">
          <cell r="A249">
            <v>8903287205606</v>
          </cell>
          <cell r="B249" t="str">
            <v>SPLIT AC 2.0 T CI2432D323G2 - IDU</v>
          </cell>
          <cell r="C249" t="str">
            <v>ACMIU</v>
          </cell>
          <cell r="D249" t="str">
            <v>AC</v>
          </cell>
          <cell r="E249">
            <v>62990</v>
          </cell>
        </row>
        <row r="250">
          <cell r="A250">
            <v>8903287205644</v>
          </cell>
          <cell r="B250" t="str">
            <v>SPLIT AC 2.0 T CI2432C323G2 - IDU</v>
          </cell>
          <cell r="C250" t="str">
            <v>ACMIU</v>
          </cell>
          <cell r="D250" t="str">
            <v>AC</v>
          </cell>
          <cell r="E250">
            <v>62990</v>
          </cell>
        </row>
        <row r="251">
          <cell r="A251">
            <v>8903287205705</v>
          </cell>
          <cell r="B251" t="str">
            <v>SPLIT AC 2.0 T CI2433A323G2 - IDU</v>
          </cell>
          <cell r="C251" t="str">
            <v>ACMIU</v>
          </cell>
          <cell r="D251" t="str">
            <v>AC</v>
          </cell>
          <cell r="E251">
            <v>62990</v>
          </cell>
        </row>
        <row r="252">
          <cell r="A252">
            <v>8903287205729</v>
          </cell>
          <cell r="B252" t="str">
            <v>SPLIT AC 2.0 T CI2434X323G2 - IDU</v>
          </cell>
          <cell r="C252" t="str">
            <v>ACMIU</v>
          </cell>
          <cell r="D252" t="str">
            <v>AC</v>
          </cell>
          <cell r="E252">
            <v>59490</v>
          </cell>
        </row>
        <row r="253">
          <cell r="A253">
            <v>8903287205743</v>
          </cell>
          <cell r="B253" t="str">
            <v>SPLIT AC 1.5 T CI2052C323G1 - IDU</v>
          </cell>
          <cell r="C253" t="str">
            <v>ACMIU</v>
          </cell>
          <cell r="D253" t="str">
            <v>AC</v>
          </cell>
          <cell r="E253">
            <v>57490</v>
          </cell>
        </row>
        <row r="254">
          <cell r="A254">
            <v>8903287205767</v>
          </cell>
          <cell r="B254" t="str">
            <v>SPLIT AC 1.5 T CI2051B323G1 - IDU</v>
          </cell>
          <cell r="C254" t="str">
            <v>ACMIU</v>
          </cell>
          <cell r="D254" t="str">
            <v>AC</v>
          </cell>
          <cell r="E254">
            <v>58990</v>
          </cell>
        </row>
        <row r="255">
          <cell r="A255">
            <v>8903287205798</v>
          </cell>
          <cell r="B255" t="str">
            <v>SPLIT AC 1.5 T CI2051G323G1 - IDU</v>
          </cell>
          <cell r="C255" t="str">
            <v>ACMIU</v>
          </cell>
          <cell r="D255" t="str">
            <v>AC</v>
          </cell>
          <cell r="E255">
            <v>57990</v>
          </cell>
        </row>
        <row r="256">
          <cell r="A256">
            <v>8903287205811</v>
          </cell>
          <cell r="B256" t="str">
            <v>SPLIT AC 1.5 T CI2053A323G1 - IDU</v>
          </cell>
          <cell r="C256" t="str">
            <v>ACMIU</v>
          </cell>
          <cell r="D256" t="str">
            <v>AC</v>
          </cell>
          <cell r="E256">
            <v>57490</v>
          </cell>
        </row>
        <row r="257">
          <cell r="A257">
            <v>8903287205835</v>
          </cell>
          <cell r="B257" t="str">
            <v>SPLIT AC 1.5 T CI2054X323G1 - IDU</v>
          </cell>
          <cell r="C257" t="str">
            <v>ACMIU</v>
          </cell>
          <cell r="D257" t="str">
            <v>AC</v>
          </cell>
          <cell r="E257">
            <v>54490</v>
          </cell>
        </row>
        <row r="258">
          <cell r="A258">
            <v>8903287205897</v>
          </cell>
          <cell r="B258" t="str">
            <v>SPLIT AC 1.5 T CI1832D223G6 - IDU</v>
          </cell>
          <cell r="C258" t="str">
            <v>ACMIU</v>
          </cell>
          <cell r="D258" t="str">
            <v>AC</v>
          </cell>
          <cell r="E258">
            <v>49990</v>
          </cell>
        </row>
        <row r="259">
          <cell r="A259">
            <v>8903287206450</v>
          </cell>
          <cell r="B259" t="str">
            <v>SPLIT AC 1.5 T CI2052D323G1 - IDU</v>
          </cell>
          <cell r="C259" t="str">
            <v>ACMIU</v>
          </cell>
          <cell r="D259" t="str">
            <v>AC</v>
          </cell>
          <cell r="E259">
            <v>57490</v>
          </cell>
        </row>
        <row r="260">
          <cell r="A260">
            <v>8903287206634</v>
          </cell>
          <cell r="B260" t="str">
            <v>SPLIT AC 1.5 T CI1833E223GN1 - IDU</v>
          </cell>
          <cell r="C260" t="str">
            <v>ACMIU</v>
          </cell>
          <cell r="D260" t="str">
            <v>AC</v>
          </cell>
          <cell r="E260">
            <v>65990</v>
          </cell>
        </row>
        <row r="261">
          <cell r="A261">
            <v>8903287206672</v>
          </cell>
          <cell r="B261" t="str">
            <v>SPLIT AC 1.5 T CI1832D223GM1 - IDU</v>
          </cell>
          <cell r="C261" t="str">
            <v>ACMIU</v>
          </cell>
          <cell r="D261" t="str">
            <v>AC</v>
          </cell>
          <cell r="E261">
            <v>49990</v>
          </cell>
        </row>
        <row r="262">
          <cell r="A262">
            <v>8903287206696</v>
          </cell>
          <cell r="B262" t="str">
            <v>SPLIT AC 1.5 T CI1833F223GM1 - IDU</v>
          </cell>
          <cell r="C262" t="str">
            <v>ACMIU</v>
          </cell>
          <cell r="D262" t="str">
            <v>AC</v>
          </cell>
          <cell r="E262">
            <v>66490</v>
          </cell>
        </row>
        <row r="263">
          <cell r="A263">
            <v>8903287206719</v>
          </cell>
          <cell r="B263" t="str">
            <v>SPLIT AC 1.5T CI1852D223GN1-IDU</v>
          </cell>
          <cell r="C263" t="str">
            <v>ACMIU</v>
          </cell>
          <cell r="D263" t="str">
            <v>AC</v>
          </cell>
          <cell r="E263">
            <v>71990</v>
          </cell>
        </row>
        <row r="264">
          <cell r="A264">
            <v>8903287206733</v>
          </cell>
          <cell r="B264" t="str">
            <v>SPLIT AC 1.5 T CI1832D223GN1 - IDU</v>
          </cell>
          <cell r="C264" t="str">
            <v>ACMIU</v>
          </cell>
          <cell r="D264" t="str">
            <v>AC</v>
          </cell>
          <cell r="E264">
            <v>62990</v>
          </cell>
        </row>
        <row r="265">
          <cell r="A265">
            <v>8903287206757</v>
          </cell>
          <cell r="B265" t="str">
            <v>SPLIT AC 1.5 T CI1832A223GN1 - IDU</v>
          </cell>
          <cell r="C265" t="str">
            <v>ACMIU</v>
          </cell>
          <cell r="D265" t="str">
            <v>AC</v>
          </cell>
          <cell r="E265">
            <v>62990</v>
          </cell>
        </row>
        <row r="266">
          <cell r="A266">
            <v>8903287206771</v>
          </cell>
          <cell r="B266" t="str">
            <v>SPLIT AC 1.5 T CI1834X223GN1 - IDU</v>
          </cell>
          <cell r="C266" t="str">
            <v>ACMIU</v>
          </cell>
          <cell r="D266" t="str">
            <v>AC</v>
          </cell>
          <cell r="E266">
            <v>58490</v>
          </cell>
        </row>
        <row r="267">
          <cell r="A267">
            <v>8903287206818</v>
          </cell>
          <cell r="B267" t="str">
            <v>SPLIT AC 1.5 T HI1831G223GM1 IDU</v>
          </cell>
          <cell r="C267" t="str">
            <v>ACMIU</v>
          </cell>
          <cell r="D267" t="str">
            <v>AC</v>
          </cell>
          <cell r="E267">
            <v>72990</v>
          </cell>
        </row>
        <row r="268">
          <cell r="A268">
            <v>8903287206832</v>
          </cell>
          <cell r="B268" t="str">
            <v>SPLIT AC 1.5 T HI1832D223GM1 IDU</v>
          </cell>
          <cell r="C268" t="str">
            <v>ACMIU</v>
          </cell>
          <cell r="D268" t="str">
            <v>AC</v>
          </cell>
          <cell r="E268">
            <v>55990</v>
          </cell>
        </row>
        <row r="269">
          <cell r="A269">
            <v>8903287206955</v>
          </cell>
          <cell r="B269" t="str">
            <v>SPLIT AC 1.5 T 5S CI2053F323GN1  - IDU</v>
          </cell>
          <cell r="C269" t="str">
            <v>ACMIU</v>
          </cell>
          <cell r="D269" t="str">
            <v>AC</v>
          </cell>
          <cell r="E269">
            <v>22940</v>
          </cell>
        </row>
        <row r="270">
          <cell r="A270">
            <v>8903287206979</v>
          </cell>
          <cell r="B270" t="str">
            <v>SPLIT AC 1.5 T 5S CI2051G323GN1  - IDU</v>
          </cell>
          <cell r="C270" t="str">
            <v>ACMIU</v>
          </cell>
          <cell r="D270" t="str">
            <v>AC</v>
          </cell>
          <cell r="E270">
            <v>22040</v>
          </cell>
        </row>
        <row r="271">
          <cell r="A271">
            <v>8903287206993</v>
          </cell>
          <cell r="B271" t="str">
            <v>SPLIT AC 1.5 T 5S CI2053A323GN1  - IDU</v>
          </cell>
          <cell r="C271" t="str">
            <v>ACMIU</v>
          </cell>
          <cell r="D271" t="str">
            <v>AC</v>
          </cell>
          <cell r="E271">
            <v>22790</v>
          </cell>
        </row>
        <row r="272">
          <cell r="A272">
            <v>8903287207013</v>
          </cell>
          <cell r="B272" t="str">
            <v>SPLIT AC 1.5 T 5S CI2052A323GN1  - IDU</v>
          </cell>
          <cell r="C272" t="str">
            <v>ACMIU</v>
          </cell>
          <cell r="D272" t="str">
            <v>AC</v>
          </cell>
          <cell r="E272">
            <v>21890</v>
          </cell>
        </row>
        <row r="273">
          <cell r="A273">
            <v>8903287207037</v>
          </cell>
          <cell r="B273" t="str">
            <v>SPLIT AC 1.5 T 5S CI1853E223GN1  - IDU</v>
          </cell>
          <cell r="C273" t="str">
            <v>ACMIU</v>
          </cell>
          <cell r="D273" t="str">
            <v>AC</v>
          </cell>
          <cell r="E273">
            <v>22490</v>
          </cell>
        </row>
        <row r="274">
          <cell r="A274">
            <v>8903287207051</v>
          </cell>
          <cell r="B274" t="str">
            <v>SPLIT AC 1.5 T 5S CI1854X223GN1  - IDU</v>
          </cell>
          <cell r="C274" t="str">
            <v>ACMIU</v>
          </cell>
          <cell r="D274" t="str">
            <v>AC</v>
          </cell>
          <cell r="E274">
            <v>20240</v>
          </cell>
        </row>
        <row r="275">
          <cell r="A275">
            <v>8903287207242</v>
          </cell>
          <cell r="B275" t="str">
            <v>SPLIT AC 1.0 T 3S CI1332D113GN1 IDU</v>
          </cell>
          <cell r="C275" t="str">
            <v>ACMIU</v>
          </cell>
          <cell r="D275" t="str">
            <v>AC</v>
          </cell>
          <cell r="E275">
            <v>15890</v>
          </cell>
        </row>
        <row r="276">
          <cell r="A276">
            <v>8903287207266</v>
          </cell>
          <cell r="B276" t="str">
            <v>SPLIT AC 1.0 T 3S CI1333A113GN1 IDU</v>
          </cell>
          <cell r="C276" t="str">
            <v>ACMIU</v>
          </cell>
          <cell r="D276" t="str">
            <v>AC</v>
          </cell>
          <cell r="E276">
            <v>16790</v>
          </cell>
        </row>
        <row r="277">
          <cell r="A277">
            <v>8903287207280</v>
          </cell>
          <cell r="B277" t="str">
            <v>SPLIT AC 1.0 T 3S CI1334X113GN1 IDU</v>
          </cell>
          <cell r="C277" t="str">
            <v>ACMIU</v>
          </cell>
          <cell r="D277" t="str">
            <v>AC</v>
          </cell>
          <cell r="E277">
            <v>14540</v>
          </cell>
        </row>
        <row r="278">
          <cell r="A278">
            <v>8903287207303</v>
          </cell>
          <cell r="B278" t="str">
            <v>SPLIT AC 1.5 T 5S CI1852A223GN1  - IDU</v>
          </cell>
          <cell r="C278" t="str">
            <v>ACMIU</v>
          </cell>
          <cell r="D278" t="str">
            <v>AC</v>
          </cell>
          <cell r="E278">
            <v>21740</v>
          </cell>
        </row>
        <row r="279">
          <cell r="A279">
            <v>8903287207327</v>
          </cell>
          <cell r="B279" t="str">
            <v>SPLIT AC 1.5 T 3S CI1831G223GN1  - IDU</v>
          </cell>
          <cell r="C279" t="str">
            <v>ACMIU</v>
          </cell>
          <cell r="D279" t="str">
            <v>AC</v>
          </cell>
          <cell r="E279">
            <v>19040</v>
          </cell>
        </row>
        <row r="280">
          <cell r="A280">
            <v>8903287207464</v>
          </cell>
          <cell r="B280" t="str">
            <v>SPLIT AC 1.0 T CI1331G113GN1 IDU</v>
          </cell>
          <cell r="C280" t="str">
            <v>ACMIU</v>
          </cell>
          <cell r="D280" t="str">
            <v>AC</v>
          </cell>
          <cell r="E280">
            <v>16040</v>
          </cell>
        </row>
        <row r="281">
          <cell r="A281">
            <v>8903287207488</v>
          </cell>
          <cell r="B281" t="str">
            <v>SPLIT AC 1.0 T CI1332A113GN1 IDU</v>
          </cell>
          <cell r="C281" t="str">
            <v>ACMIU</v>
          </cell>
          <cell r="D281" t="str">
            <v>AC</v>
          </cell>
          <cell r="E281">
            <v>15890</v>
          </cell>
        </row>
        <row r="282">
          <cell r="A282">
            <v>8903287207501</v>
          </cell>
          <cell r="B282" t="str">
            <v>SPLIT AC 1.0 T CI1333F113GN1 IDU</v>
          </cell>
          <cell r="C282" t="str">
            <v>ACMIU</v>
          </cell>
          <cell r="D282" t="str">
            <v>AC</v>
          </cell>
          <cell r="E282">
            <v>16940</v>
          </cell>
        </row>
        <row r="283">
          <cell r="A283">
            <v>8903287207525</v>
          </cell>
          <cell r="B283" t="str">
            <v>SPLIT AC 1.0 T CI1333E113GN1 IDU</v>
          </cell>
          <cell r="C283" t="str">
            <v>ACMIU</v>
          </cell>
          <cell r="D283" t="str">
            <v>AC</v>
          </cell>
          <cell r="E283">
            <v>16790</v>
          </cell>
        </row>
        <row r="284">
          <cell r="A284">
            <v>8903287207549</v>
          </cell>
          <cell r="B284" t="str">
            <v>SPLIT AC 1.5 T 3S CI1833A223GM1  - IDU</v>
          </cell>
          <cell r="C284" t="str">
            <v>ACMIU</v>
          </cell>
          <cell r="D284" t="str">
            <v>AC</v>
          </cell>
          <cell r="E284">
            <v>19790</v>
          </cell>
        </row>
        <row r="285">
          <cell r="A285">
            <v>8903287207570</v>
          </cell>
          <cell r="B285" t="str">
            <v>SPLIT AC 1.0 T 5S CI1453F213GN1  - ODU</v>
          </cell>
          <cell r="C285" t="str">
            <v>ACMIU</v>
          </cell>
          <cell r="D285" t="str">
            <v>AC</v>
          </cell>
          <cell r="E285">
            <v>46550</v>
          </cell>
        </row>
        <row r="286">
          <cell r="A286">
            <v>8903287207587</v>
          </cell>
          <cell r="B286" t="str">
            <v>SPLIT AC 1.0 T 5S CI1451G213GN1  - IDU</v>
          </cell>
          <cell r="C286" t="str">
            <v>ACMIU</v>
          </cell>
          <cell r="D286" t="str">
            <v>AC</v>
          </cell>
          <cell r="E286">
            <v>19040</v>
          </cell>
        </row>
        <row r="287">
          <cell r="A287">
            <v>8903287207624</v>
          </cell>
          <cell r="B287" t="str">
            <v>SPLIT AC 2.0 T 3S CI2431G323G4  - IDU</v>
          </cell>
          <cell r="C287" t="str">
            <v>ACMIU</v>
          </cell>
          <cell r="D287" t="str">
            <v>AC</v>
          </cell>
          <cell r="E287">
            <v>24140</v>
          </cell>
        </row>
        <row r="288">
          <cell r="A288">
            <v>8903287207648</v>
          </cell>
          <cell r="B288" t="str">
            <v>SPLIT AC 2.0 T 3S CI2432A323G4  - IDU</v>
          </cell>
          <cell r="C288" t="str">
            <v>ACMIU</v>
          </cell>
          <cell r="D288" t="str">
            <v>AC</v>
          </cell>
          <cell r="E288">
            <v>23990</v>
          </cell>
        </row>
        <row r="289">
          <cell r="A289">
            <v>8903287207662</v>
          </cell>
          <cell r="B289" t="str">
            <v>SPLIT AC 2.0 T 3S CI2432D323G4  - IDU</v>
          </cell>
          <cell r="C289" t="str">
            <v>ACMIU</v>
          </cell>
          <cell r="D289" t="str">
            <v>AC</v>
          </cell>
          <cell r="E289">
            <v>23990</v>
          </cell>
        </row>
        <row r="290">
          <cell r="A290">
            <v>8903287207723</v>
          </cell>
          <cell r="B290" t="str">
            <v>SPLIT AC 2.0 T 3S CI2433F323G4  - IDU</v>
          </cell>
          <cell r="C290" t="str">
            <v>ACMIU</v>
          </cell>
          <cell r="D290" t="str">
            <v>AC</v>
          </cell>
          <cell r="E290">
            <v>25040</v>
          </cell>
        </row>
        <row r="291">
          <cell r="A291">
            <v>8903287207747</v>
          </cell>
          <cell r="B291" t="str">
            <v>SPLIT AC 2.0 T 3S CI2433E323G4  - IDU</v>
          </cell>
          <cell r="C291" t="str">
            <v>ACMIU</v>
          </cell>
          <cell r="D291" t="str">
            <v>AC</v>
          </cell>
          <cell r="E291">
            <v>24890</v>
          </cell>
        </row>
        <row r="292">
          <cell r="A292">
            <v>8903287207761</v>
          </cell>
          <cell r="B292" t="str">
            <v>SPLIT AC 2.0 T 3S CI2433A323G4  - IDU</v>
          </cell>
          <cell r="C292" t="str">
            <v>ACMIU</v>
          </cell>
          <cell r="D292" t="str">
            <v>AC</v>
          </cell>
          <cell r="E292">
            <v>24890</v>
          </cell>
        </row>
        <row r="293">
          <cell r="A293">
            <v>8903287207785</v>
          </cell>
          <cell r="B293" t="str">
            <v>SPLIT AC 2.0 T 3S CI2434X323G4  - IDU</v>
          </cell>
          <cell r="C293" t="str">
            <v>ACMIU</v>
          </cell>
          <cell r="D293" t="str">
            <v>AC</v>
          </cell>
          <cell r="E293">
            <v>22640</v>
          </cell>
        </row>
        <row r="294">
          <cell r="A294">
            <v>8903287207884</v>
          </cell>
          <cell r="B294" t="str">
            <v>SPLIT AC 2.0T 3S IACI24DD3G3C  - IDU-DUM</v>
          </cell>
          <cell r="C294" t="str">
            <v>ACMIU</v>
          </cell>
          <cell r="D294" t="str">
            <v>AC</v>
          </cell>
          <cell r="E294">
            <v>3000</v>
          </cell>
        </row>
        <row r="295">
          <cell r="A295">
            <v>8903287206962</v>
          </cell>
          <cell r="B295" t="str">
            <v>SPLIT AC 1.5 T 5S CI2053F323GN1  - ODU</v>
          </cell>
          <cell r="C295" t="str">
            <v>ACMOU</v>
          </cell>
          <cell r="D295" t="str">
            <v>AC</v>
          </cell>
          <cell r="E295">
            <v>53550</v>
          </cell>
        </row>
        <row r="296">
          <cell r="A296">
            <v>8903287206986</v>
          </cell>
          <cell r="B296" t="str">
            <v>SPLIT AC 1.5 T 5S CI2051G323GN1  - ODU</v>
          </cell>
          <cell r="C296" t="str">
            <v>ACMOU</v>
          </cell>
          <cell r="D296" t="str">
            <v>AC</v>
          </cell>
          <cell r="E296">
            <v>51450</v>
          </cell>
        </row>
        <row r="297">
          <cell r="A297">
            <v>8903287207006</v>
          </cell>
          <cell r="B297" t="str">
            <v>SPLIT AC 1.5 T 5S CI2053A323GN1  - ODU</v>
          </cell>
          <cell r="C297" t="str">
            <v>ACMOU</v>
          </cell>
          <cell r="D297" t="str">
            <v>AC</v>
          </cell>
          <cell r="E297">
            <v>53200</v>
          </cell>
        </row>
        <row r="298">
          <cell r="A298">
            <v>8903287207020</v>
          </cell>
          <cell r="B298" t="str">
            <v>SPLIT AC 1.5 T 5S CI2052A323GN1  - ODU</v>
          </cell>
          <cell r="C298" t="str">
            <v>ACMOU</v>
          </cell>
          <cell r="D298" t="str">
            <v>AC</v>
          </cell>
          <cell r="E298">
            <v>51100</v>
          </cell>
        </row>
        <row r="299">
          <cell r="A299">
            <v>8903287207044</v>
          </cell>
          <cell r="B299" t="str">
            <v>SPLIT AC 1.5 T 5S CI1853E223GN1  - ODU</v>
          </cell>
          <cell r="C299" t="str">
            <v>ACMOU</v>
          </cell>
          <cell r="D299" t="str">
            <v>AC</v>
          </cell>
          <cell r="E299">
            <v>52500</v>
          </cell>
        </row>
        <row r="300">
          <cell r="A300">
            <v>8903287207068</v>
          </cell>
          <cell r="B300" t="str">
            <v>SPLIT AC 1.5 T 5S CI1854X223GN1  - ODU</v>
          </cell>
          <cell r="C300" t="str">
            <v>ACMOU</v>
          </cell>
          <cell r="D300" t="str">
            <v>AC</v>
          </cell>
          <cell r="E300">
            <v>47250</v>
          </cell>
        </row>
        <row r="301">
          <cell r="A301">
            <v>8903287207259</v>
          </cell>
          <cell r="B301" t="str">
            <v>SPLIT AC 1.0 T 3S CI1332D113GN1 ODU</v>
          </cell>
          <cell r="C301" t="str">
            <v>ACMOU</v>
          </cell>
          <cell r="D301" t="str">
            <v>AC</v>
          </cell>
          <cell r="E301">
            <v>37100</v>
          </cell>
        </row>
        <row r="302">
          <cell r="A302">
            <v>8903287207273</v>
          </cell>
          <cell r="B302" t="str">
            <v>SPLIT AC 1.0 T 3S CI1333A113GN1 ODU</v>
          </cell>
          <cell r="C302" t="str">
            <v>ACMOU</v>
          </cell>
          <cell r="D302" t="str">
            <v>AC</v>
          </cell>
          <cell r="E302">
            <v>39200</v>
          </cell>
        </row>
        <row r="303">
          <cell r="A303">
            <v>8903287207297</v>
          </cell>
          <cell r="B303" t="str">
            <v>SPLIT AC 1.0 T 3S CI1334X113GN1 ODU</v>
          </cell>
          <cell r="C303" t="str">
            <v>ACMOU</v>
          </cell>
          <cell r="D303" t="str">
            <v>AC</v>
          </cell>
          <cell r="E303">
            <v>33950</v>
          </cell>
        </row>
        <row r="304">
          <cell r="A304">
            <v>8903287207310</v>
          </cell>
          <cell r="B304" t="str">
            <v>SPLIT AC 1.5 T 5S CI1852A223GN1  - ODU</v>
          </cell>
          <cell r="C304" t="str">
            <v>ACMOU</v>
          </cell>
          <cell r="D304" t="str">
            <v>AC</v>
          </cell>
          <cell r="E304">
            <v>50750</v>
          </cell>
        </row>
        <row r="305">
          <cell r="A305">
            <v>8903287207334</v>
          </cell>
          <cell r="B305" t="str">
            <v>SPLIT AC 1.5 T 3S CI1831G223GN1  - ODU</v>
          </cell>
          <cell r="C305" t="str">
            <v>ACMOU</v>
          </cell>
          <cell r="D305" t="str">
            <v>AC</v>
          </cell>
          <cell r="E305">
            <v>44450</v>
          </cell>
        </row>
        <row r="306">
          <cell r="A306">
            <v>8903287207471</v>
          </cell>
          <cell r="B306" t="str">
            <v>SPLIT AC 1.0 T CI1331G113GN1 ODU</v>
          </cell>
          <cell r="C306" t="str">
            <v>ACMOU</v>
          </cell>
          <cell r="D306" t="str">
            <v>AC</v>
          </cell>
          <cell r="E306">
            <v>37450</v>
          </cell>
        </row>
        <row r="307">
          <cell r="A307">
            <v>8903287207495</v>
          </cell>
          <cell r="B307" t="str">
            <v>SPLIT AC 1.0 T CI1332A113GN1 ODU</v>
          </cell>
          <cell r="C307" t="str">
            <v>ACMOU</v>
          </cell>
          <cell r="D307" t="str">
            <v>AC</v>
          </cell>
          <cell r="E307">
            <v>37100</v>
          </cell>
        </row>
        <row r="308">
          <cell r="A308">
            <v>8903287207518</v>
          </cell>
          <cell r="B308" t="str">
            <v>SPLIT AC 1.0 T CI1333F113GN1 ODU</v>
          </cell>
          <cell r="C308" t="str">
            <v>ACMOU</v>
          </cell>
          <cell r="D308" t="str">
            <v>AC</v>
          </cell>
          <cell r="E308">
            <v>39550</v>
          </cell>
        </row>
        <row r="309">
          <cell r="A309">
            <v>8903287207532</v>
          </cell>
          <cell r="B309" t="str">
            <v>SPLIT AC 1.0 T CI1333E113GN1 ODU</v>
          </cell>
          <cell r="C309" t="str">
            <v>ACMOU</v>
          </cell>
          <cell r="D309" t="str">
            <v>AC</v>
          </cell>
          <cell r="E309">
            <v>39200</v>
          </cell>
        </row>
        <row r="310">
          <cell r="A310">
            <v>8903287207556</v>
          </cell>
          <cell r="B310" t="str">
            <v>SPLIT AC 1.5 T 3S CI1833A223GM1  - ODU</v>
          </cell>
          <cell r="C310" t="str">
            <v>ACMOU</v>
          </cell>
          <cell r="D310" t="str">
            <v>AC</v>
          </cell>
          <cell r="E310">
            <v>46200</v>
          </cell>
        </row>
        <row r="311">
          <cell r="A311">
            <v>8903287207563</v>
          </cell>
          <cell r="B311" t="str">
            <v>SPLIT AC 1.0 T 5S CI1453F213GN1  - IDU</v>
          </cell>
          <cell r="C311" t="str">
            <v>ACMOU</v>
          </cell>
          <cell r="D311" t="str">
            <v>AC</v>
          </cell>
          <cell r="E311">
            <v>19940</v>
          </cell>
        </row>
        <row r="312">
          <cell r="A312">
            <v>8903287207594</v>
          </cell>
          <cell r="B312" t="str">
            <v>SPLIT AC 1.0 T 5S CI1451G213GN1  - ODU</v>
          </cell>
          <cell r="C312" t="str">
            <v>ACMOU</v>
          </cell>
          <cell r="D312" t="str">
            <v>AC</v>
          </cell>
          <cell r="E312">
            <v>44450</v>
          </cell>
        </row>
        <row r="313">
          <cell r="A313">
            <v>8903287207631</v>
          </cell>
          <cell r="B313" t="str">
            <v>SPLIT AC 2.0 T 3S CI2431G323G4  - ODU</v>
          </cell>
          <cell r="C313" t="str">
            <v>ACMOU</v>
          </cell>
          <cell r="D313" t="str">
            <v>AC</v>
          </cell>
          <cell r="E313">
            <v>56350</v>
          </cell>
        </row>
        <row r="314">
          <cell r="A314">
            <v>8903287207655</v>
          </cell>
          <cell r="B314" t="str">
            <v>SPLIT AC 2.0 T 3S CI2432A323G4  - ODU</v>
          </cell>
          <cell r="C314" t="str">
            <v>ACMOU</v>
          </cell>
          <cell r="D314" t="str">
            <v>AC</v>
          </cell>
          <cell r="E314">
            <v>56000</v>
          </cell>
        </row>
        <row r="315">
          <cell r="A315">
            <v>8903287207679</v>
          </cell>
          <cell r="B315" t="str">
            <v>SPLIT AC 2.0 T 3S CI2432D323G4  - ODU</v>
          </cell>
          <cell r="C315" t="str">
            <v>ACMOU</v>
          </cell>
          <cell r="D315" t="str">
            <v>AC</v>
          </cell>
          <cell r="E315">
            <v>56000</v>
          </cell>
        </row>
        <row r="316">
          <cell r="A316">
            <v>8903287207730</v>
          </cell>
          <cell r="B316" t="str">
            <v>SPLIT AC 2.0 T 3S CI2433F323G4  - ODU</v>
          </cell>
          <cell r="C316" t="str">
            <v>ACMOU</v>
          </cell>
          <cell r="D316" t="str">
            <v>AC</v>
          </cell>
          <cell r="E316">
            <v>58450</v>
          </cell>
        </row>
        <row r="317">
          <cell r="A317">
            <v>8903287207754</v>
          </cell>
          <cell r="B317" t="str">
            <v>SPLIT AC 2.0 T 3S CI2433E323G4  - ODU</v>
          </cell>
          <cell r="C317" t="str">
            <v>ACMOU</v>
          </cell>
          <cell r="D317" t="str">
            <v>AC</v>
          </cell>
          <cell r="E317">
            <v>58100</v>
          </cell>
        </row>
        <row r="318">
          <cell r="A318">
            <v>8903287207778</v>
          </cell>
          <cell r="B318" t="str">
            <v>SPLIT AC 2.0 T 3S CI2433A323G4  - ODU</v>
          </cell>
          <cell r="C318" t="str">
            <v>ACMOU</v>
          </cell>
          <cell r="D318" t="str">
            <v>AC</v>
          </cell>
          <cell r="E318">
            <v>58100</v>
          </cell>
        </row>
        <row r="319">
          <cell r="A319">
            <v>8903287207792</v>
          </cell>
          <cell r="B319" t="str">
            <v>SPLIT AC 2.0 T 3S CI2434X323G4  - ODU</v>
          </cell>
          <cell r="C319" t="str">
            <v>ACMOU</v>
          </cell>
          <cell r="D319" t="str">
            <v>AC</v>
          </cell>
          <cell r="E319">
            <v>52850</v>
          </cell>
        </row>
        <row r="320">
          <cell r="A320">
            <v>8903287000515</v>
          </cell>
          <cell r="B320" t="str">
            <v>EASY DRYER  550</v>
          </cell>
          <cell r="C320" t="str">
            <v>CD</v>
          </cell>
          <cell r="D320" t="str">
            <v>CD</v>
          </cell>
          <cell r="E320">
            <v>15490</v>
          </cell>
        </row>
        <row r="321">
          <cell r="A321">
            <v>8903287000522</v>
          </cell>
          <cell r="B321" t="str">
            <v>MAXI DRYER 550</v>
          </cell>
          <cell r="C321" t="str">
            <v>CD</v>
          </cell>
          <cell r="D321" t="str">
            <v>CD</v>
          </cell>
          <cell r="E321">
            <v>19990</v>
          </cell>
        </row>
        <row r="322">
          <cell r="A322">
            <v>8903287000539</v>
          </cell>
          <cell r="B322" t="str">
            <v>MAXIDRY EX</v>
          </cell>
          <cell r="C322" t="str">
            <v>CD</v>
          </cell>
          <cell r="D322" t="str">
            <v>CD</v>
          </cell>
          <cell r="E322">
            <v>20990</v>
          </cell>
        </row>
        <row r="323">
          <cell r="A323">
            <v>8903287000577</v>
          </cell>
          <cell r="B323" t="str">
            <v>DUMMY CD MAXI DRY 550</v>
          </cell>
          <cell r="C323" t="str">
            <v>CD</v>
          </cell>
          <cell r="D323" t="str">
            <v>CD</v>
          </cell>
          <cell r="E323">
            <v>6540</v>
          </cell>
        </row>
        <row r="324">
          <cell r="A324">
            <v>8903287000638</v>
          </cell>
          <cell r="B324" t="str">
            <v>DUMMY CD MAXIDRY EX 550</v>
          </cell>
          <cell r="C324" t="str">
            <v>CD</v>
          </cell>
          <cell r="D324" t="str">
            <v>CD</v>
          </cell>
          <cell r="E324">
            <v>8270</v>
          </cell>
        </row>
        <row r="325">
          <cell r="A325">
            <v>8903287000669</v>
          </cell>
          <cell r="B325" t="str">
            <v>TURBO DRY EX</v>
          </cell>
          <cell r="C325" t="str">
            <v>CD</v>
          </cell>
          <cell r="D325" t="str">
            <v>CD</v>
          </cell>
          <cell r="E325">
            <v>26990</v>
          </cell>
        </row>
        <row r="326">
          <cell r="A326">
            <v>8903287000676</v>
          </cell>
          <cell r="B326" t="str">
            <v>TURBO DRY</v>
          </cell>
          <cell r="C326" t="str">
            <v>CD</v>
          </cell>
          <cell r="D326" t="str">
            <v>CD</v>
          </cell>
          <cell r="E326">
            <v>25690</v>
          </cell>
        </row>
        <row r="327">
          <cell r="A327">
            <v>8903287000751</v>
          </cell>
          <cell r="B327" t="str">
            <v>TURBO DRY LX</v>
          </cell>
          <cell r="C327" t="str">
            <v>CD</v>
          </cell>
          <cell r="D327" t="str">
            <v>CD</v>
          </cell>
          <cell r="E327">
            <v>29990</v>
          </cell>
        </row>
        <row r="328">
          <cell r="A328">
            <v>8903287000768</v>
          </cell>
          <cell r="B328" t="str">
            <v>TURBO DRY MX</v>
          </cell>
          <cell r="C328" t="str">
            <v>CD</v>
          </cell>
          <cell r="D328" t="str">
            <v>CD</v>
          </cell>
          <cell r="E328">
            <v>29990</v>
          </cell>
        </row>
        <row r="329">
          <cell r="A329">
            <v>8903287000775</v>
          </cell>
          <cell r="B329" t="str">
            <v>TURBO DRY RX</v>
          </cell>
          <cell r="C329" t="str">
            <v>CD</v>
          </cell>
          <cell r="D329" t="str">
            <v>CD</v>
          </cell>
          <cell r="E329">
            <v>29990</v>
          </cell>
        </row>
        <row r="330">
          <cell r="A330">
            <v>8903287100192</v>
          </cell>
          <cell r="B330" t="str">
            <v>DRY CLEANING MACHINE GXZQ 6</v>
          </cell>
          <cell r="C330" t="str">
            <v>CD</v>
          </cell>
          <cell r="D330" t="str">
            <v>CD</v>
          </cell>
          <cell r="E330">
            <v>630000</v>
          </cell>
        </row>
        <row r="331">
          <cell r="A331">
            <v>8999999999998</v>
          </cell>
          <cell r="B331" t="str">
            <v>DUMMY CLOTH DRYER</v>
          </cell>
          <cell r="C331" t="str">
            <v>CD</v>
          </cell>
          <cell r="D331" t="str">
            <v>CD</v>
          </cell>
          <cell r="E331">
            <v>4870</v>
          </cell>
        </row>
        <row r="332">
          <cell r="A332">
            <v>8903287001130</v>
          </cell>
          <cell r="B332" t="str">
            <v>DISHWASHER MODEL NEPTUNE</v>
          </cell>
          <cell r="C332" t="str">
            <v>DW</v>
          </cell>
          <cell r="D332" t="str">
            <v>DW</v>
          </cell>
          <cell r="E332">
            <v>28490</v>
          </cell>
        </row>
        <row r="333">
          <cell r="A333">
            <v>8903287001147</v>
          </cell>
          <cell r="B333" t="str">
            <v>DISHWASHER MODEL ZEPHYR EX</v>
          </cell>
          <cell r="C333" t="str">
            <v>DW</v>
          </cell>
          <cell r="D333" t="str">
            <v>DW</v>
          </cell>
          <cell r="E333">
            <v>24490</v>
          </cell>
        </row>
        <row r="334">
          <cell r="A334">
            <v>8903287001154</v>
          </cell>
          <cell r="B334" t="str">
            <v>DISHWASHER MODEL A4M1</v>
          </cell>
          <cell r="C334" t="str">
            <v>DW</v>
          </cell>
          <cell r="D334" t="str">
            <v>DW</v>
          </cell>
          <cell r="E334">
            <v>22000</v>
          </cell>
        </row>
        <row r="335">
          <cell r="A335">
            <v>8903287001161</v>
          </cell>
          <cell r="B335" t="str">
            <v>DISHWASHER MODEL MM118</v>
          </cell>
          <cell r="C335" t="str">
            <v>DW</v>
          </cell>
          <cell r="D335" t="str">
            <v>DW</v>
          </cell>
          <cell r="E335">
            <v>30000</v>
          </cell>
        </row>
        <row r="336">
          <cell r="A336">
            <v>8903287001239</v>
          </cell>
          <cell r="B336" t="str">
            <v>DISHWASHER MODEL WQP12-9260AY</v>
          </cell>
          <cell r="C336" t="str">
            <v>DW</v>
          </cell>
          <cell r="D336" t="str">
            <v>DW</v>
          </cell>
          <cell r="E336">
            <v>24000</v>
          </cell>
        </row>
        <row r="337">
          <cell r="A337">
            <v>8903287001246</v>
          </cell>
          <cell r="B337" t="str">
            <v>DISHWASHER MODEL WQP12-9260Y</v>
          </cell>
          <cell r="C337" t="str">
            <v>DW</v>
          </cell>
          <cell r="D337" t="str">
            <v>DW</v>
          </cell>
          <cell r="E337">
            <v>21000</v>
          </cell>
        </row>
        <row r="338">
          <cell r="A338">
            <v>8903287001321</v>
          </cell>
          <cell r="B338" t="str">
            <v>DISHWASHER NEPTUNE 1</v>
          </cell>
          <cell r="C338" t="str">
            <v>DW</v>
          </cell>
          <cell r="D338" t="str">
            <v>DW</v>
          </cell>
          <cell r="E338">
            <v>28490</v>
          </cell>
        </row>
        <row r="339">
          <cell r="A339">
            <v>8903287001338</v>
          </cell>
          <cell r="B339" t="str">
            <v>DISHWASHER ZEPHYR EX1</v>
          </cell>
          <cell r="C339" t="str">
            <v>DW</v>
          </cell>
          <cell r="D339" t="str">
            <v>DW</v>
          </cell>
          <cell r="E339">
            <v>24490</v>
          </cell>
        </row>
        <row r="340">
          <cell r="A340">
            <v>8903287001345</v>
          </cell>
          <cell r="B340" t="str">
            <v>DISHWASHER NEPTUNE SX</v>
          </cell>
          <cell r="C340" t="str">
            <v>DW</v>
          </cell>
          <cell r="D340" t="str">
            <v>DW</v>
          </cell>
          <cell r="E340">
            <v>36990</v>
          </cell>
        </row>
        <row r="341">
          <cell r="A341">
            <v>8903287001352</v>
          </cell>
          <cell r="B341" t="str">
            <v>DISHWASHER NEPTUNE</v>
          </cell>
          <cell r="C341" t="str">
            <v>DW</v>
          </cell>
          <cell r="D341" t="str">
            <v>DW</v>
          </cell>
          <cell r="E341">
            <v>29990</v>
          </cell>
        </row>
        <row r="342">
          <cell r="A342">
            <v>8903287001369</v>
          </cell>
          <cell r="B342" t="str">
            <v>DISHWASHER ZEPHYR EX</v>
          </cell>
          <cell r="C342" t="str">
            <v>DW</v>
          </cell>
          <cell r="D342" t="str">
            <v>DW</v>
          </cell>
          <cell r="E342">
            <v>24490</v>
          </cell>
        </row>
        <row r="343">
          <cell r="A343">
            <v>8903287001383</v>
          </cell>
          <cell r="B343" t="str">
            <v>DISHWASHER NEPTUNE DX</v>
          </cell>
          <cell r="C343" t="str">
            <v>DW</v>
          </cell>
          <cell r="D343" t="str">
            <v>DW</v>
          </cell>
          <cell r="E343">
            <v>34990</v>
          </cell>
        </row>
        <row r="344">
          <cell r="A344">
            <v>8903287001390</v>
          </cell>
          <cell r="B344" t="str">
            <v>DISHWASHER ZEPHYR DX</v>
          </cell>
          <cell r="C344" t="str">
            <v>DW</v>
          </cell>
          <cell r="D344" t="str">
            <v>DW</v>
          </cell>
          <cell r="E344">
            <v>28990</v>
          </cell>
        </row>
        <row r="345">
          <cell r="A345">
            <v>8903287001451</v>
          </cell>
          <cell r="B345" t="str">
            <v>DISHWASHER ZEPHYR SX</v>
          </cell>
          <cell r="C345" t="str">
            <v>DW</v>
          </cell>
          <cell r="D345" t="str">
            <v>DW</v>
          </cell>
          <cell r="E345">
            <v>25990</v>
          </cell>
        </row>
        <row r="346">
          <cell r="A346">
            <v>8903287001826</v>
          </cell>
          <cell r="B346" t="str">
            <v>NEPTUNE VX</v>
          </cell>
          <cell r="C346" t="str">
            <v>DW</v>
          </cell>
          <cell r="D346" t="str">
            <v>DW</v>
          </cell>
          <cell r="E346">
            <v>44990</v>
          </cell>
        </row>
        <row r="347">
          <cell r="A347">
            <v>8903287001833</v>
          </cell>
          <cell r="B347" t="str">
            <v>NEPTUNE SX 1</v>
          </cell>
          <cell r="C347" t="str">
            <v>DW</v>
          </cell>
          <cell r="D347" t="str">
            <v>DW</v>
          </cell>
          <cell r="E347">
            <v>51990</v>
          </cell>
        </row>
        <row r="348">
          <cell r="A348">
            <v>8903287001949</v>
          </cell>
          <cell r="B348" t="str">
            <v>DISHWASHER NEPTUNE VX TRANSPERANT</v>
          </cell>
          <cell r="C348" t="str">
            <v>DW</v>
          </cell>
          <cell r="D348" t="str">
            <v>DW</v>
          </cell>
          <cell r="E348">
            <v>31200</v>
          </cell>
        </row>
        <row r="349">
          <cell r="A349">
            <v>8903287001956</v>
          </cell>
          <cell r="B349" t="str">
            <v>DISHWASHER NEPTUNE WX</v>
          </cell>
          <cell r="C349" t="str">
            <v>DW</v>
          </cell>
          <cell r="D349" t="str">
            <v>DW</v>
          </cell>
          <cell r="E349">
            <v>35990</v>
          </cell>
        </row>
        <row r="350">
          <cell r="A350">
            <v>8903287001963</v>
          </cell>
          <cell r="B350" t="str">
            <v>DISHWASHER NEPTUNE FX</v>
          </cell>
          <cell r="C350" t="str">
            <v>DW</v>
          </cell>
          <cell r="D350" t="str">
            <v>DW</v>
          </cell>
          <cell r="E350">
            <v>37990</v>
          </cell>
        </row>
        <row r="351">
          <cell r="A351">
            <v>8903287002694</v>
          </cell>
          <cell r="B351" t="str">
            <v>DISHWASHER NEPTUNE VX PLUS</v>
          </cell>
          <cell r="C351" t="str">
            <v>DW</v>
          </cell>
          <cell r="D351" t="str">
            <v>DW</v>
          </cell>
          <cell r="E351">
            <v>47990</v>
          </cell>
        </row>
        <row r="352">
          <cell r="A352">
            <v>8903287002748</v>
          </cell>
          <cell r="B352" t="str">
            <v>NEPTUNE ULTRA</v>
          </cell>
          <cell r="C352" t="str">
            <v>DW</v>
          </cell>
          <cell r="D352" t="str">
            <v>DW</v>
          </cell>
          <cell r="E352">
            <v>54990</v>
          </cell>
        </row>
        <row r="353">
          <cell r="A353">
            <v>8903287002755</v>
          </cell>
          <cell r="B353" t="str">
            <v>NEPTUNE VX1</v>
          </cell>
          <cell r="C353" t="str">
            <v>DW</v>
          </cell>
          <cell r="D353" t="str">
            <v>DW</v>
          </cell>
          <cell r="E353">
            <v>44990</v>
          </cell>
        </row>
        <row r="354">
          <cell r="A354">
            <v>8903287002762</v>
          </cell>
          <cell r="B354" t="str">
            <v>NEPTUNE VX1 PLUS</v>
          </cell>
          <cell r="C354" t="str">
            <v>DW</v>
          </cell>
          <cell r="D354" t="str">
            <v>DW</v>
          </cell>
          <cell r="E354">
            <v>47990</v>
          </cell>
        </row>
        <row r="355">
          <cell r="A355">
            <v>8903287002830</v>
          </cell>
          <cell r="B355" t="str">
            <v>DISHWASHER NEPTUNE MINI</v>
          </cell>
          <cell r="C355" t="str">
            <v>DW</v>
          </cell>
          <cell r="D355" t="str">
            <v>DW</v>
          </cell>
          <cell r="E355">
            <v>28990</v>
          </cell>
        </row>
        <row r="356">
          <cell r="A356">
            <v>8903287002854</v>
          </cell>
          <cell r="B356" t="str">
            <v>NEPTUNE FX1</v>
          </cell>
          <cell r="C356" t="str">
            <v>DW</v>
          </cell>
          <cell r="D356" t="str">
            <v>DW</v>
          </cell>
          <cell r="E356">
            <v>37990</v>
          </cell>
        </row>
        <row r="357">
          <cell r="A357">
            <v>8903287002908</v>
          </cell>
          <cell r="B357" t="str">
            <v>NEPTUNE VX2 PLUS</v>
          </cell>
          <cell r="C357" t="str">
            <v>DW</v>
          </cell>
          <cell r="D357" t="str">
            <v>DW</v>
          </cell>
          <cell r="E357">
            <v>62590</v>
          </cell>
        </row>
        <row r="358">
          <cell r="A358">
            <v>8903287002915</v>
          </cell>
          <cell r="B358" t="str">
            <v>NEPTUNE SX2</v>
          </cell>
          <cell r="C358" t="str">
            <v>DW</v>
          </cell>
          <cell r="D358" t="str">
            <v>DW</v>
          </cell>
          <cell r="E358">
            <v>65490</v>
          </cell>
        </row>
        <row r="359">
          <cell r="A359">
            <v>8903287002922</v>
          </cell>
          <cell r="B359" t="str">
            <v>NEPTUNE FX2</v>
          </cell>
          <cell r="C359" t="str">
            <v>DW</v>
          </cell>
          <cell r="D359" t="str">
            <v>DW</v>
          </cell>
          <cell r="E359">
            <v>49990</v>
          </cell>
        </row>
        <row r="360">
          <cell r="A360">
            <v>8903287040290</v>
          </cell>
          <cell r="B360" t="str">
            <v>NEPTUNE VX16</v>
          </cell>
          <cell r="C360" t="str">
            <v>DW</v>
          </cell>
          <cell r="D360" t="str">
            <v>DW</v>
          </cell>
          <cell r="E360">
            <v>62590</v>
          </cell>
        </row>
        <row r="361">
          <cell r="A361">
            <v>8903287040306</v>
          </cell>
          <cell r="B361" t="str">
            <v>NEPTUNE SX16</v>
          </cell>
          <cell r="C361" t="str">
            <v>DW</v>
          </cell>
          <cell r="D361" t="str">
            <v>DW</v>
          </cell>
          <cell r="E361">
            <v>65490</v>
          </cell>
        </row>
        <row r="362">
          <cell r="A362">
            <v>8903287040313</v>
          </cell>
          <cell r="B362" t="str">
            <v>NEPTUNE FX14</v>
          </cell>
          <cell r="C362" t="str">
            <v>DW</v>
          </cell>
          <cell r="D362" t="str">
            <v>DW</v>
          </cell>
          <cell r="E362">
            <v>49990</v>
          </cell>
        </row>
        <row r="363">
          <cell r="A363">
            <v>8903287000010</v>
          </cell>
          <cell r="B363" t="str">
            <v>DIGITAL 7KG</v>
          </cell>
          <cell r="C363" t="str">
            <v>FL</v>
          </cell>
          <cell r="D363" t="str">
            <v>FL</v>
          </cell>
          <cell r="E363">
            <v>32690</v>
          </cell>
        </row>
        <row r="364">
          <cell r="A364">
            <v>8903287000027</v>
          </cell>
          <cell r="B364" t="str">
            <v>SENATOR AQUA 6KG</v>
          </cell>
          <cell r="C364" t="str">
            <v>FL</v>
          </cell>
          <cell r="D364" t="str">
            <v>FL</v>
          </cell>
          <cell r="E364">
            <v>27500</v>
          </cell>
        </row>
        <row r="365">
          <cell r="A365">
            <v>8903287000034</v>
          </cell>
          <cell r="B365" t="str">
            <v>SENATOR 6KG</v>
          </cell>
          <cell r="C365" t="str">
            <v>FL</v>
          </cell>
          <cell r="D365" t="str">
            <v>FL</v>
          </cell>
          <cell r="E365">
            <v>28550</v>
          </cell>
        </row>
        <row r="366">
          <cell r="A366">
            <v>8903287000041</v>
          </cell>
          <cell r="B366" t="str">
            <v>SENATOR DX 6KG</v>
          </cell>
          <cell r="C366" t="str">
            <v>FL</v>
          </cell>
          <cell r="D366" t="str">
            <v>FL</v>
          </cell>
          <cell r="E366">
            <v>30350</v>
          </cell>
        </row>
        <row r="367">
          <cell r="A367">
            <v>8903287000058</v>
          </cell>
          <cell r="B367" t="str">
            <v>DIGITAL 6KG.</v>
          </cell>
          <cell r="C367" t="str">
            <v>FL</v>
          </cell>
          <cell r="D367" t="str">
            <v>FL</v>
          </cell>
          <cell r="E367">
            <v>29500</v>
          </cell>
        </row>
        <row r="368">
          <cell r="A368">
            <v>8903287000065</v>
          </cell>
          <cell r="B368" t="str">
            <v>DIGITAL EX 6KG</v>
          </cell>
          <cell r="C368" t="str">
            <v>FL</v>
          </cell>
          <cell r="D368" t="str">
            <v>FL</v>
          </cell>
          <cell r="E368">
            <v>29900</v>
          </cell>
        </row>
        <row r="369">
          <cell r="A369">
            <v>8903287000072</v>
          </cell>
          <cell r="B369" t="str">
            <v>DIGITAL SX</v>
          </cell>
          <cell r="C369" t="str">
            <v>FL</v>
          </cell>
          <cell r="D369" t="str">
            <v>FL</v>
          </cell>
          <cell r="E369">
            <v>31350</v>
          </cell>
        </row>
        <row r="370">
          <cell r="A370">
            <v>8903287000089</v>
          </cell>
          <cell r="B370" t="str">
            <v>DIGITAL 5.5KG</v>
          </cell>
          <cell r="C370" t="str">
            <v>FL</v>
          </cell>
          <cell r="D370" t="str">
            <v>FL</v>
          </cell>
          <cell r="E370">
            <v>28300</v>
          </cell>
        </row>
        <row r="371">
          <cell r="A371">
            <v>8903287000096</v>
          </cell>
          <cell r="B371" t="str">
            <v>ELENA DX 5.5KG</v>
          </cell>
          <cell r="C371" t="str">
            <v>FL</v>
          </cell>
          <cell r="D371" t="str">
            <v>FL</v>
          </cell>
          <cell r="E371">
            <v>19490</v>
          </cell>
        </row>
        <row r="372">
          <cell r="A372">
            <v>8903287000102</v>
          </cell>
          <cell r="B372" t="str">
            <v>SERENA 5.5 KG</v>
          </cell>
          <cell r="C372" t="str">
            <v>FL</v>
          </cell>
          <cell r="D372" t="str">
            <v>FL</v>
          </cell>
          <cell r="E372">
            <v>21390</v>
          </cell>
        </row>
        <row r="373">
          <cell r="A373">
            <v>8903287000119</v>
          </cell>
          <cell r="B373" t="str">
            <v>SENORITA DX 5.5KG</v>
          </cell>
          <cell r="C373" t="str">
            <v>FL</v>
          </cell>
          <cell r="D373" t="str">
            <v>FL</v>
          </cell>
          <cell r="E373">
            <v>23190</v>
          </cell>
        </row>
        <row r="374">
          <cell r="A374">
            <v>8903287000126</v>
          </cell>
          <cell r="B374" t="str">
            <v>ELITE 5KG</v>
          </cell>
          <cell r="C374" t="str">
            <v>FL</v>
          </cell>
          <cell r="D374" t="str">
            <v>FL</v>
          </cell>
          <cell r="E374">
            <v>23500</v>
          </cell>
        </row>
        <row r="375">
          <cell r="A375">
            <v>8903287000133</v>
          </cell>
          <cell r="B375" t="str">
            <v>ELITE AQUA 5KG</v>
          </cell>
          <cell r="C375" t="str">
            <v>FL</v>
          </cell>
          <cell r="D375" t="str">
            <v>FL</v>
          </cell>
          <cell r="E375">
            <v>24500</v>
          </cell>
        </row>
        <row r="376">
          <cell r="A376">
            <v>8903287000140</v>
          </cell>
          <cell r="B376" t="str">
            <v>DIGITAL 5KG</v>
          </cell>
          <cell r="C376" t="str">
            <v>FL</v>
          </cell>
          <cell r="D376" t="str">
            <v>FL</v>
          </cell>
          <cell r="E376">
            <v>24900</v>
          </cell>
        </row>
        <row r="377">
          <cell r="A377">
            <v>8903287000157</v>
          </cell>
          <cell r="B377" t="str">
            <v>ELITE DX 5.5KG</v>
          </cell>
          <cell r="C377" t="str">
            <v>FL</v>
          </cell>
          <cell r="D377" t="str">
            <v>FL</v>
          </cell>
          <cell r="E377">
            <v>25490</v>
          </cell>
        </row>
        <row r="378">
          <cell r="A378">
            <v>8903287000164</v>
          </cell>
          <cell r="B378" t="str">
            <v>EXECUTIVE PLUS</v>
          </cell>
          <cell r="C378" t="str">
            <v>FL</v>
          </cell>
          <cell r="D378" t="str">
            <v>FL</v>
          </cell>
          <cell r="E378">
            <v>22300</v>
          </cell>
        </row>
        <row r="379">
          <cell r="A379">
            <v>8903287000171</v>
          </cell>
          <cell r="B379" t="str">
            <v>SENORITA PLUS</v>
          </cell>
          <cell r="C379" t="str">
            <v>FL</v>
          </cell>
          <cell r="D379" t="str">
            <v>FL</v>
          </cell>
          <cell r="E379">
            <v>20300</v>
          </cell>
        </row>
        <row r="380">
          <cell r="A380">
            <v>8903287000201</v>
          </cell>
          <cell r="B380" t="str">
            <v>DIVA (COLD WASH)</v>
          </cell>
          <cell r="C380" t="str">
            <v>FL</v>
          </cell>
          <cell r="D380" t="str">
            <v>FL</v>
          </cell>
          <cell r="E380">
            <v>12499</v>
          </cell>
        </row>
        <row r="381">
          <cell r="A381">
            <v>8903287000218</v>
          </cell>
          <cell r="B381" t="str">
            <v>DIVA (HOT WASH)</v>
          </cell>
          <cell r="C381" t="str">
            <v>FL</v>
          </cell>
          <cell r="D381" t="str">
            <v>FL</v>
          </cell>
          <cell r="E381">
            <v>12900</v>
          </cell>
        </row>
        <row r="382">
          <cell r="A382">
            <v>8903287000225</v>
          </cell>
          <cell r="B382" t="str">
            <v>EVA DX</v>
          </cell>
          <cell r="C382" t="str">
            <v>FL</v>
          </cell>
          <cell r="D382" t="str">
            <v>FL</v>
          </cell>
          <cell r="E382">
            <v>17490</v>
          </cell>
        </row>
        <row r="383">
          <cell r="A383">
            <v>8903287000232</v>
          </cell>
          <cell r="B383" t="str">
            <v>ELENA</v>
          </cell>
          <cell r="C383" t="str">
            <v>FL</v>
          </cell>
          <cell r="D383" t="str">
            <v>FL</v>
          </cell>
          <cell r="E383">
            <v>16600</v>
          </cell>
        </row>
        <row r="384">
          <cell r="A384">
            <v>8903287000249</v>
          </cell>
          <cell r="B384" t="str">
            <v>ELENA EX</v>
          </cell>
          <cell r="C384" t="str">
            <v>FL</v>
          </cell>
          <cell r="D384" t="str">
            <v>FL</v>
          </cell>
          <cell r="E384">
            <v>17600</v>
          </cell>
        </row>
        <row r="385">
          <cell r="A385">
            <v>8903287000256</v>
          </cell>
          <cell r="B385" t="str">
            <v>ELITE DX AQUA</v>
          </cell>
          <cell r="C385" t="str">
            <v>FL</v>
          </cell>
          <cell r="D385" t="str">
            <v>FL</v>
          </cell>
          <cell r="E385">
            <v>23500</v>
          </cell>
        </row>
        <row r="386">
          <cell r="A386">
            <v>8903287000263</v>
          </cell>
          <cell r="B386" t="str">
            <v>ELENA SX 6 KG.</v>
          </cell>
          <cell r="C386" t="str">
            <v>FL</v>
          </cell>
          <cell r="D386" t="str">
            <v>FL</v>
          </cell>
          <cell r="E386">
            <v>22990</v>
          </cell>
        </row>
        <row r="387">
          <cell r="A387">
            <v>8903287000270</v>
          </cell>
          <cell r="B387" t="str">
            <v>ELITE SX 5.5 KG</v>
          </cell>
          <cell r="C387" t="str">
            <v>FL</v>
          </cell>
          <cell r="D387" t="str">
            <v>FL</v>
          </cell>
          <cell r="E387">
            <v>27390</v>
          </cell>
        </row>
        <row r="388">
          <cell r="A388">
            <v>8903287000287</v>
          </cell>
          <cell r="B388" t="str">
            <v>SENATOR SX 6 KG</v>
          </cell>
          <cell r="C388" t="str">
            <v>FL</v>
          </cell>
          <cell r="D388" t="str">
            <v>FL</v>
          </cell>
          <cell r="E388">
            <v>27750</v>
          </cell>
        </row>
        <row r="389">
          <cell r="A389">
            <v>8903287000294</v>
          </cell>
          <cell r="B389" t="str">
            <v>SERENA SX 5.5 KG</v>
          </cell>
          <cell r="C389" t="str">
            <v>FL</v>
          </cell>
          <cell r="D389" t="str">
            <v>FL</v>
          </cell>
          <cell r="E389">
            <v>22490</v>
          </cell>
        </row>
        <row r="390">
          <cell r="A390">
            <v>8903287000348</v>
          </cell>
          <cell r="B390" t="str">
            <v>FRONT LOADING WM WA83120</v>
          </cell>
          <cell r="C390" t="str">
            <v>FL</v>
          </cell>
          <cell r="D390" t="str">
            <v>FL</v>
          </cell>
          <cell r="E390">
            <v>33900</v>
          </cell>
        </row>
        <row r="391">
          <cell r="A391">
            <v>8903287000355</v>
          </cell>
          <cell r="B391" t="str">
            <v>FRONT LOADING WM WA72125</v>
          </cell>
          <cell r="C391" t="str">
            <v>FL</v>
          </cell>
          <cell r="D391" t="str">
            <v>FL</v>
          </cell>
          <cell r="E391">
            <v>30900</v>
          </cell>
        </row>
        <row r="392">
          <cell r="A392">
            <v>8903287000447</v>
          </cell>
          <cell r="B392" t="str">
            <v>DUMMY SENATOR 6KG</v>
          </cell>
          <cell r="C392" t="str">
            <v>FL</v>
          </cell>
          <cell r="D392" t="str">
            <v>FL</v>
          </cell>
          <cell r="E392">
            <v>12400</v>
          </cell>
        </row>
        <row r="393">
          <cell r="A393">
            <v>8903287000454</v>
          </cell>
          <cell r="B393" t="str">
            <v>DUMMY SENORITA DX 5.5KG</v>
          </cell>
          <cell r="C393" t="str">
            <v>FL</v>
          </cell>
          <cell r="D393" t="str">
            <v>FL</v>
          </cell>
          <cell r="E393">
            <v>11690</v>
          </cell>
        </row>
        <row r="394">
          <cell r="A394">
            <v>8903287000508</v>
          </cell>
          <cell r="B394" t="str">
            <v>DUMMY SENETOR DX 6KG</v>
          </cell>
          <cell r="C394" t="str">
            <v>FL</v>
          </cell>
          <cell r="D394" t="str">
            <v>FL</v>
          </cell>
          <cell r="E394">
            <v>13290</v>
          </cell>
        </row>
        <row r="395">
          <cell r="A395">
            <v>8903287012082</v>
          </cell>
          <cell r="B395" t="str">
            <v>DUMMY  DIGITAL SX</v>
          </cell>
          <cell r="C395" t="str">
            <v>FL</v>
          </cell>
          <cell r="D395" t="str">
            <v>FL</v>
          </cell>
          <cell r="E395">
            <v>16000</v>
          </cell>
        </row>
        <row r="396">
          <cell r="A396">
            <v>8903287012099</v>
          </cell>
          <cell r="B396" t="str">
            <v>DUMMY  DIGITAL 5.5KG</v>
          </cell>
          <cell r="C396" t="str">
            <v>FL</v>
          </cell>
          <cell r="D396" t="str">
            <v>FL</v>
          </cell>
          <cell r="E396">
            <v>11690</v>
          </cell>
        </row>
        <row r="397">
          <cell r="A397">
            <v>8903287012105</v>
          </cell>
          <cell r="B397" t="str">
            <v>DUMMY  ELITE SX</v>
          </cell>
          <cell r="C397" t="str">
            <v>FL</v>
          </cell>
          <cell r="D397" t="str">
            <v>FL</v>
          </cell>
          <cell r="E397">
            <v>13240</v>
          </cell>
        </row>
        <row r="398">
          <cell r="A398">
            <v>8903287012112</v>
          </cell>
          <cell r="B398" t="str">
            <v>DUMMY  ELITE DX 5.5KG</v>
          </cell>
          <cell r="C398" t="str">
            <v>FL</v>
          </cell>
          <cell r="D398" t="str">
            <v>FL</v>
          </cell>
          <cell r="E398">
            <v>11670</v>
          </cell>
        </row>
        <row r="399">
          <cell r="A399">
            <v>8903287012129</v>
          </cell>
          <cell r="B399" t="str">
            <v>DUMMY  SERENA SX</v>
          </cell>
          <cell r="C399" t="str">
            <v>FL</v>
          </cell>
          <cell r="D399" t="str">
            <v>FL</v>
          </cell>
          <cell r="E399">
            <v>12460</v>
          </cell>
        </row>
        <row r="400">
          <cell r="A400">
            <v>8903287012136</v>
          </cell>
          <cell r="B400" t="str">
            <v>DUMMY  SERENA 5.5 KG</v>
          </cell>
          <cell r="C400" t="str">
            <v>FL</v>
          </cell>
          <cell r="D400" t="str">
            <v>FL</v>
          </cell>
          <cell r="E400">
            <v>11110</v>
          </cell>
        </row>
        <row r="401">
          <cell r="A401">
            <v>8903287012143</v>
          </cell>
          <cell r="B401" t="str">
            <v>DUMMY  ELENA DX 5.5KG</v>
          </cell>
          <cell r="C401" t="str">
            <v>FL</v>
          </cell>
          <cell r="D401" t="str">
            <v>FL</v>
          </cell>
          <cell r="E401">
            <v>10640</v>
          </cell>
        </row>
        <row r="402">
          <cell r="A402">
            <v>8903287012150</v>
          </cell>
          <cell r="B402" t="str">
            <v>DUMMY  EVA DX</v>
          </cell>
          <cell r="C402" t="str">
            <v>FL</v>
          </cell>
          <cell r="D402" t="str">
            <v>FL</v>
          </cell>
          <cell r="E402">
            <v>9660</v>
          </cell>
        </row>
        <row r="403">
          <cell r="A403">
            <v>8903287012167</v>
          </cell>
          <cell r="B403" t="str">
            <v>DUMMY  DIVA (COLD WASH)</v>
          </cell>
          <cell r="C403" t="str">
            <v>FL</v>
          </cell>
          <cell r="D403" t="str">
            <v>FL</v>
          </cell>
          <cell r="E403">
            <v>9550</v>
          </cell>
        </row>
        <row r="404">
          <cell r="A404">
            <v>8903287100451</v>
          </cell>
          <cell r="B404" t="str">
            <v>OLD 1 VERNA</v>
          </cell>
          <cell r="C404" t="str">
            <v>FL</v>
          </cell>
          <cell r="D404" t="str">
            <v>FL</v>
          </cell>
          <cell r="E404">
            <v>29500</v>
          </cell>
        </row>
        <row r="405">
          <cell r="A405">
            <v>8999999999999</v>
          </cell>
          <cell r="B405" t="str">
            <v>DUMMY WASHING MACHINE MODELS</v>
          </cell>
          <cell r="C405" t="str">
            <v>FL</v>
          </cell>
          <cell r="D405" t="str">
            <v>FL</v>
          </cell>
          <cell r="E405">
            <v>7240</v>
          </cell>
        </row>
        <row r="406">
          <cell r="A406">
            <v>8903287000317</v>
          </cell>
          <cell r="B406" t="str">
            <v>ANGULAR FL WM 6.5 KG SILVER COLOUR</v>
          </cell>
          <cell r="C406" t="str">
            <v>FLT</v>
          </cell>
          <cell r="D406" t="str">
            <v>FL</v>
          </cell>
          <cell r="E406">
            <v>34990</v>
          </cell>
        </row>
        <row r="407">
          <cell r="A407">
            <v>8903287000331</v>
          </cell>
          <cell r="B407" t="str">
            <v>ANGULAR FL WM 6.5 KG RED COLOUR</v>
          </cell>
          <cell r="C407" t="str">
            <v>FLT</v>
          </cell>
          <cell r="D407" t="str">
            <v>FL</v>
          </cell>
          <cell r="E407">
            <v>35990</v>
          </cell>
        </row>
        <row r="408">
          <cell r="A408">
            <v>8903287000362</v>
          </cell>
          <cell r="B408" t="str">
            <v>ANGULAR  WM 6.5 KG (S)</v>
          </cell>
          <cell r="C408" t="str">
            <v>FLT</v>
          </cell>
          <cell r="D408" t="str">
            <v>FL</v>
          </cell>
          <cell r="E408">
            <v>34990</v>
          </cell>
        </row>
        <row r="409">
          <cell r="A409">
            <v>8903287000379</v>
          </cell>
          <cell r="B409" t="str">
            <v>ANGULAR  WM 6.5 KG (R)</v>
          </cell>
          <cell r="C409" t="str">
            <v>FLT</v>
          </cell>
          <cell r="D409" t="str">
            <v>FL</v>
          </cell>
          <cell r="E409">
            <v>36500</v>
          </cell>
        </row>
        <row r="410">
          <cell r="A410">
            <v>8903287000386</v>
          </cell>
          <cell r="B410" t="str">
            <v>FRONT LOADING WASHER 9KG &amp;  DRYER 7KG</v>
          </cell>
          <cell r="C410" t="str">
            <v>FLT</v>
          </cell>
          <cell r="D410" t="str">
            <v>FL</v>
          </cell>
          <cell r="E410">
            <v>63490</v>
          </cell>
        </row>
        <row r="411">
          <cell r="A411">
            <v>8903287000393</v>
          </cell>
          <cell r="B411" t="str">
            <v>FRONT LOADING WM 7KG  DIRECT DRIVE</v>
          </cell>
          <cell r="C411" t="str">
            <v>FLT</v>
          </cell>
          <cell r="D411" t="str">
            <v>FL</v>
          </cell>
          <cell r="E411">
            <v>35500</v>
          </cell>
        </row>
        <row r="412">
          <cell r="A412">
            <v>8903287000409</v>
          </cell>
          <cell r="B412" t="str">
            <v>FRONT LOADING WM 8KG DIRECT DRIVE</v>
          </cell>
          <cell r="C412" t="str">
            <v>FLT</v>
          </cell>
          <cell r="D412" t="str">
            <v>FL</v>
          </cell>
          <cell r="E412">
            <v>39500</v>
          </cell>
        </row>
        <row r="413">
          <cell r="A413">
            <v>8903287000416</v>
          </cell>
          <cell r="B413" t="str">
            <v>FRONT LOADING WM 7KG MODEL ADMIRAL 7012W</v>
          </cell>
          <cell r="C413" t="str">
            <v>FLT</v>
          </cell>
          <cell r="D413" t="str">
            <v>FL</v>
          </cell>
          <cell r="E413">
            <v>32990</v>
          </cell>
        </row>
        <row r="414">
          <cell r="A414">
            <v>8903287000423</v>
          </cell>
          <cell r="B414" t="str">
            <v>FRONT LOADING WM 8KG MODEL ADMIRAL 8012W</v>
          </cell>
          <cell r="C414" t="str">
            <v>FLT</v>
          </cell>
          <cell r="D414" t="str">
            <v>FL</v>
          </cell>
          <cell r="E414">
            <v>38990</v>
          </cell>
        </row>
        <row r="415">
          <cell r="A415">
            <v>8903287000430</v>
          </cell>
          <cell r="B415" t="str">
            <v>DIGITAL 7KG</v>
          </cell>
          <cell r="C415" t="str">
            <v>FLT</v>
          </cell>
          <cell r="D415" t="str">
            <v>FL</v>
          </cell>
          <cell r="E415">
            <v>32690</v>
          </cell>
        </row>
        <row r="416">
          <cell r="A416">
            <v>8903287000461</v>
          </cell>
          <cell r="B416" t="str">
            <v>SENORITA SX</v>
          </cell>
          <cell r="C416" t="str">
            <v>FLU</v>
          </cell>
          <cell r="D416" t="str">
            <v>FL</v>
          </cell>
          <cell r="E416">
            <v>32490</v>
          </cell>
        </row>
        <row r="417">
          <cell r="A417">
            <v>8903287000478</v>
          </cell>
          <cell r="B417" t="str">
            <v>SERENA VX</v>
          </cell>
          <cell r="C417" t="str">
            <v>FLU</v>
          </cell>
          <cell r="D417" t="str">
            <v>FL</v>
          </cell>
          <cell r="E417">
            <v>32490</v>
          </cell>
        </row>
        <row r="418">
          <cell r="A418">
            <v>8903287000485</v>
          </cell>
          <cell r="B418" t="str">
            <v>ELITE VX</v>
          </cell>
          <cell r="C418" t="str">
            <v>FLU</v>
          </cell>
          <cell r="D418" t="str">
            <v>FL</v>
          </cell>
          <cell r="E418">
            <v>34990</v>
          </cell>
        </row>
        <row r="419">
          <cell r="A419">
            <v>8903287000492</v>
          </cell>
          <cell r="B419" t="str">
            <v>SENATOR VX</v>
          </cell>
          <cell r="C419" t="str">
            <v>FLU</v>
          </cell>
          <cell r="D419" t="str">
            <v>FL</v>
          </cell>
          <cell r="E419">
            <v>37490</v>
          </cell>
        </row>
        <row r="420">
          <cell r="A420">
            <v>8903287012037</v>
          </cell>
          <cell r="B420" t="str">
            <v>ELENA VX</v>
          </cell>
          <cell r="C420" t="str">
            <v>FLU</v>
          </cell>
          <cell r="D420" t="str">
            <v>FL</v>
          </cell>
          <cell r="E420">
            <v>26490</v>
          </cell>
        </row>
        <row r="421">
          <cell r="A421">
            <v>8903287012044</v>
          </cell>
          <cell r="B421" t="str">
            <v>SENORITA VX</v>
          </cell>
          <cell r="C421" t="str">
            <v>FLU</v>
          </cell>
          <cell r="D421" t="str">
            <v>FL</v>
          </cell>
          <cell r="E421">
            <v>29490</v>
          </cell>
        </row>
        <row r="422">
          <cell r="A422">
            <v>8903287012051</v>
          </cell>
          <cell r="B422" t="str">
            <v>ELITE SX ULTRA</v>
          </cell>
          <cell r="C422" t="str">
            <v>FLU</v>
          </cell>
          <cell r="D422" t="str">
            <v>FL</v>
          </cell>
          <cell r="E422">
            <v>36990</v>
          </cell>
        </row>
        <row r="423">
          <cell r="A423">
            <v>8903287012068</v>
          </cell>
          <cell r="B423" t="str">
            <v>EXECUTIVE VX</v>
          </cell>
          <cell r="C423" t="str">
            <v>FLU</v>
          </cell>
          <cell r="D423" t="str">
            <v>FL</v>
          </cell>
          <cell r="E423">
            <v>37490</v>
          </cell>
        </row>
        <row r="424">
          <cell r="A424">
            <v>8903287012075</v>
          </cell>
          <cell r="B424" t="str">
            <v>SENATOR SX</v>
          </cell>
          <cell r="C424" t="str">
            <v>FLU</v>
          </cell>
          <cell r="D424" t="str">
            <v>FL</v>
          </cell>
          <cell r="E424">
            <v>37890</v>
          </cell>
        </row>
        <row r="425">
          <cell r="A425">
            <v>8903287012211</v>
          </cell>
          <cell r="B425" t="str">
            <v>ELENA SX</v>
          </cell>
          <cell r="C425" t="str">
            <v>FLU</v>
          </cell>
          <cell r="D425" t="str">
            <v>FL</v>
          </cell>
          <cell r="E425">
            <v>27990</v>
          </cell>
        </row>
        <row r="426">
          <cell r="A426">
            <v>8903287012228</v>
          </cell>
          <cell r="B426" t="str">
            <v>EVA VX</v>
          </cell>
          <cell r="C426" t="str">
            <v>FLU</v>
          </cell>
          <cell r="D426" t="str">
            <v>FL</v>
          </cell>
          <cell r="E426">
            <v>24490</v>
          </cell>
        </row>
        <row r="427">
          <cell r="A427">
            <v>8903287012235</v>
          </cell>
          <cell r="B427" t="str">
            <v>EVA SX</v>
          </cell>
          <cell r="C427" t="str">
            <v>FLU</v>
          </cell>
          <cell r="D427" t="str">
            <v>FL</v>
          </cell>
          <cell r="E427">
            <v>25490</v>
          </cell>
        </row>
        <row r="428">
          <cell r="A428">
            <v>8903287012266</v>
          </cell>
          <cell r="B428" t="str">
            <v>SENATOR VXR ULTRA</v>
          </cell>
          <cell r="C428" t="str">
            <v>FLU</v>
          </cell>
          <cell r="D428" t="str">
            <v>FL</v>
          </cell>
          <cell r="E428">
            <v>38490</v>
          </cell>
        </row>
        <row r="429">
          <cell r="A429">
            <v>8903287012273</v>
          </cell>
          <cell r="B429" t="str">
            <v>SENATOR VXB ULTRA</v>
          </cell>
          <cell r="C429" t="str">
            <v>FLU</v>
          </cell>
          <cell r="D429" t="str">
            <v>FL</v>
          </cell>
          <cell r="E429">
            <v>37990</v>
          </cell>
        </row>
        <row r="430">
          <cell r="A430">
            <v>8903287012280</v>
          </cell>
          <cell r="B430" t="str">
            <v>ELITE SXR ULTRA</v>
          </cell>
          <cell r="C430" t="str">
            <v>FLU</v>
          </cell>
          <cell r="D430" t="str">
            <v>FL</v>
          </cell>
          <cell r="E430">
            <v>34490</v>
          </cell>
        </row>
        <row r="431">
          <cell r="A431">
            <v>8903287012303</v>
          </cell>
          <cell r="B431" t="str">
            <v>ELENA AQUA</v>
          </cell>
          <cell r="C431" t="str">
            <v>FLU</v>
          </cell>
          <cell r="D431" t="str">
            <v>FL</v>
          </cell>
          <cell r="E431">
            <v>24890</v>
          </cell>
        </row>
        <row r="432">
          <cell r="A432">
            <v>8903287012310</v>
          </cell>
          <cell r="B432" t="str">
            <v>ELENA STEAM</v>
          </cell>
          <cell r="C432" t="str">
            <v>FLU</v>
          </cell>
          <cell r="D432" t="str">
            <v>FL</v>
          </cell>
          <cell r="E432">
            <v>29990</v>
          </cell>
        </row>
        <row r="433">
          <cell r="A433">
            <v>8903287012327</v>
          </cell>
          <cell r="B433" t="str">
            <v>SENATOR ERGO VX 7KG</v>
          </cell>
          <cell r="C433" t="str">
            <v>FLU</v>
          </cell>
          <cell r="D433" t="str">
            <v>FL</v>
          </cell>
          <cell r="E433">
            <v>37490</v>
          </cell>
        </row>
        <row r="434">
          <cell r="A434">
            <v>8903287012334</v>
          </cell>
          <cell r="B434" t="str">
            <v>SENATOR ERGO SX 7KG</v>
          </cell>
          <cell r="C434" t="str">
            <v>FLU</v>
          </cell>
          <cell r="D434" t="str">
            <v>FL</v>
          </cell>
          <cell r="E434">
            <v>38990</v>
          </cell>
        </row>
        <row r="435">
          <cell r="A435">
            <v>8903287012341</v>
          </cell>
          <cell r="B435" t="str">
            <v>ELENA AQUA SX</v>
          </cell>
          <cell r="C435" t="str">
            <v>FLU</v>
          </cell>
          <cell r="D435" t="str">
            <v>FL</v>
          </cell>
          <cell r="E435">
            <v>26990</v>
          </cell>
        </row>
        <row r="436">
          <cell r="A436">
            <v>8903287012358</v>
          </cell>
          <cell r="B436" t="str">
            <v>SENORITA AQUA VX</v>
          </cell>
          <cell r="C436" t="str">
            <v>FLU</v>
          </cell>
          <cell r="D436" t="str">
            <v>FL</v>
          </cell>
          <cell r="E436">
            <v>29490</v>
          </cell>
        </row>
        <row r="437">
          <cell r="A437">
            <v>8903287012365</v>
          </cell>
          <cell r="B437" t="str">
            <v>SENORITA AQUA SX</v>
          </cell>
          <cell r="C437" t="str">
            <v>FLU</v>
          </cell>
          <cell r="D437" t="str">
            <v>FL</v>
          </cell>
          <cell r="E437">
            <v>32490</v>
          </cell>
        </row>
        <row r="438">
          <cell r="A438">
            <v>8903287012372</v>
          </cell>
          <cell r="B438" t="str">
            <v>ELITE AQUA SX</v>
          </cell>
          <cell r="C438" t="str">
            <v>FLU</v>
          </cell>
          <cell r="D438" t="str">
            <v>FL</v>
          </cell>
          <cell r="E438">
            <v>34990</v>
          </cell>
        </row>
        <row r="439">
          <cell r="A439">
            <v>8903287012389</v>
          </cell>
          <cell r="B439" t="str">
            <v>SENATOR AQUA SX</v>
          </cell>
          <cell r="C439" t="str">
            <v>FLU</v>
          </cell>
          <cell r="D439" t="str">
            <v>FL</v>
          </cell>
          <cell r="E439">
            <v>41590</v>
          </cell>
        </row>
        <row r="440">
          <cell r="A440">
            <v>8903287012396</v>
          </cell>
          <cell r="B440" t="str">
            <v>SENORITA SX ECO MONO</v>
          </cell>
          <cell r="C440" t="str">
            <v>FLU</v>
          </cell>
          <cell r="D440" t="str">
            <v>FL</v>
          </cell>
          <cell r="E440">
            <v>35990</v>
          </cell>
        </row>
        <row r="441">
          <cell r="A441">
            <v>8903287012402</v>
          </cell>
          <cell r="B441" t="str">
            <v>SENORITA SX ECO DUO</v>
          </cell>
          <cell r="C441" t="str">
            <v>FLU</v>
          </cell>
          <cell r="D441" t="str">
            <v>FL</v>
          </cell>
          <cell r="E441">
            <v>32490</v>
          </cell>
        </row>
        <row r="442">
          <cell r="A442">
            <v>8903287012482</v>
          </cell>
          <cell r="B442" t="str">
            <v>SENATOR SMART SX</v>
          </cell>
          <cell r="C442" t="str">
            <v>FLU</v>
          </cell>
          <cell r="D442" t="str">
            <v>FL</v>
          </cell>
          <cell r="E442">
            <v>49980</v>
          </cell>
        </row>
        <row r="443">
          <cell r="A443">
            <v>8903287012495</v>
          </cell>
          <cell r="B443" t="str">
            <v>SENATOR SMART TOUCH SX</v>
          </cell>
          <cell r="C443" t="str">
            <v>FLU</v>
          </cell>
          <cell r="D443" t="str">
            <v>FL</v>
          </cell>
          <cell r="E443">
            <v>54390</v>
          </cell>
        </row>
        <row r="444">
          <cell r="A444">
            <v>8903287012587</v>
          </cell>
          <cell r="B444" t="str">
            <v>EVA AQUA VX</v>
          </cell>
          <cell r="C444" t="str">
            <v>FLU</v>
          </cell>
          <cell r="D444" t="str">
            <v>FL</v>
          </cell>
          <cell r="E444">
            <v>25490</v>
          </cell>
        </row>
        <row r="445">
          <cell r="A445">
            <v>8903287012693</v>
          </cell>
          <cell r="B445" t="str">
            <v>SENORITA PLUS VX</v>
          </cell>
          <cell r="C445" t="str">
            <v>FLU</v>
          </cell>
          <cell r="D445" t="str">
            <v>FL</v>
          </cell>
          <cell r="E445">
            <v>36990</v>
          </cell>
        </row>
        <row r="446">
          <cell r="A446">
            <v>8903287012709</v>
          </cell>
          <cell r="B446" t="str">
            <v>SENORITA PLUS SX</v>
          </cell>
          <cell r="C446" t="str">
            <v>FLU</v>
          </cell>
          <cell r="D446" t="str">
            <v>FL</v>
          </cell>
          <cell r="E446">
            <v>36990</v>
          </cell>
        </row>
        <row r="447">
          <cell r="A447">
            <v>8903287012716</v>
          </cell>
          <cell r="B447" t="str">
            <v>ULTRA PLUS 7KG VX</v>
          </cell>
          <cell r="C447" t="str">
            <v>FLU</v>
          </cell>
          <cell r="D447" t="str">
            <v>FL</v>
          </cell>
          <cell r="E447">
            <v>38000</v>
          </cell>
        </row>
        <row r="448">
          <cell r="A448">
            <v>8903287012723</v>
          </cell>
          <cell r="B448" t="str">
            <v>ELITE PLUS SX</v>
          </cell>
          <cell r="C448" t="str">
            <v>FLU</v>
          </cell>
          <cell r="D448" t="str">
            <v>FL</v>
          </cell>
          <cell r="E448">
            <v>37290</v>
          </cell>
        </row>
        <row r="449">
          <cell r="A449">
            <v>8903287012747</v>
          </cell>
          <cell r="B449" t="str">
            <v>SENORITA SMART</v>
          </cell>
          <cell r="C449" t="str">
            <v>FLU</v>
          </cell>
          <cell r="D449" t="str">
            <v>FL</v>
          </cell>
          <cell r="E449">
            <v>35990</v>
          </cell>
        </row>
        <row r="450">
          <cell r="A450">
            <v>8903287012754</v>
          </cell>
          <cell r="B450" t="str">
            <v>ELITE AQUA VX</v>
          </cell>
          <cell r="C450" t="str">
            <v>FLU</v>
          </cell>
          <cell r="D450" t="str">
            <v>FL</v>
          </cell>
          <cell r="E450">
            <v>34990</v>
          </cell>
        </row>
        <row r="451">
          <cell r="A451">
            <v>8903287012907</v>
          </cell>
          <cell r="B451" t="str">
            <v>ELENA AQUA VX</v>
          </cell>
          <cell r="C451" t="str">
            <v>FLU</v>
          </cell>
          <cell r="D451" t="str">
            <v>FL</v>
          </cell>
          <cell r="E451">
            <v>27290</v>
          </cell>
        </row>
        <row r="452">
          <cell r="A452">
            <v>8903287012914</v>
          </cell>
          <cell r="B452" t="str">
            <v>SERENA AQUA VX</v>
          </cell>
          <cell r="C452" t="str">
            <v>FLU</v>
          </cell>
          <cell r="D452" t="str">
            <v>FL</v>
          </cell>
          <cell r="E452">
            <v>32990</v>
          </cell>
        </row>
        <row r="453">
          <cell r="A453">
            <v>8903287012921</v>
          </cell>
          <cell r="B453" t="str">
            <v>EVA AQUA SX</v>
          </cell>
          <cell r="C453" t="str">
            <v>FLU</v>
          </cell>
          <cell r="D453" t="str">
            <v>FL</v>
          </cell>
          <cell r="E453">
            <v>26990</v>
          </cell>
        </row>
        <row r="454">
          <cell r="A454">
            <v>8903287012938</v>
          </cell>
          <cell r="B454" t="str">
            <v>ELENA AQUA STEAM</v>
          </cell>
          <cell r="C454" t="str">
            <v>FLU</v>
          </cell>
          <cell r="D454" t="str">
            <v>FL</v>
          </cell>
          <cell r="E454">
            <v>29990</v>
          </cell>
        </row>
        <row r="455">
          <cell r="A455">
            <v>8903287012945</v>
          </cell>
          <cell r="B455" t="str">
            <v>SENORITA AQUA SX 6.5</v>
          </cell>
          <cell r="C455" t="str">
            <v>FLU</v>
          </cell>
          <cell r="D455" t="str">
            <v>FL</v>
          </cell>
          <cell r="E455">
            <v>37890</v>
          </cell>
        </row>
        <row r="456">
          <cell r="A456">
            <v>8903287012952</v>
          </cell>
          <cell r="B456" t="str">
            <v>SENORITA AQUA VX 6.5</v>
          </cell>
          <cell r="C456" t="str">
            <v>FLU</v>
          </cell>
          <cell r="D456" t="str">
            <v>FL</v>
          </cell>
          <cell r="E456">
            <v>30890</v>
          </cell>
        </row>
        <row r="457">
          <cell r="A457">
            <v>8903287012969</v>
          </cell>
          <cell r="B457" t="str">
            <v>ELENA  AQUA SX 1000</v>
          </cell>
          <cell r="C457" t="str">
            <v>FLU</v>
          </cell>
          <cell r="D457" t="str">
            <v>FL</v>
          </cell>
          <cell r="E457">
            <v>29190</v>
          </cell>
        </row>
        <row r="458">
          <cell r="A458">
            <v>8903287012976</v>
          </cell>
          <cell r="B458" t="str">
            <v>DUMMY SENATOR AQUA SX</v>
          </cell>
          <cell r="C458" t="str">
            <v>FLU</v>
          </cell>
          <cell r="D458" t="str">
            <v>FL</v>
          </cell>
          <cell r="E458">
            <v>9500</v>
          </cell>
        </row>
        <row r="459">
          <cell r="A459">
            <v>8903287012983</v>
          </cell>
          <cell r="B459" t="str">
            <v>DUMMY ELITE AQUA SX</v>
          </cell>
          <cell r="C459" t="str">
            <v>FLU</v>
          </cell>
          <cell r="D459" t="str">
            <v>FL</v>
          </cell>
          <cell r="E459">
            <v>9500</v>
          </cell>
        </row>
        <row r="460">
          <cell r="A460">
            <v>8903287012990</v>
          </cell>
          <cell r="B460" t="str">
            <v>DUMMY SENORITA AQUA SX</v>
          </cell>
          <cell r="C460" t="str">
            <v>FLU</v>
          </cell>
          <cell r="D460" t="str">
            <v>FL</v>
          </cell>
          <cell r="E460">
            <v>9500</v>
          </cell>
        </row>
        <row r="461">
          <cell r="A461">
            <v>8903287023002</v>
          </cell>
          <cell r="B461" t="str">
            <v>DUMMY SENORITA AQUA VX</v>
          </cell>
          <cell r="C461" t="str">
            <v>FLU</v>
          </cell>
          <cell r="D461" t="str">
            <v>FL</v>
          </cell>
          <cell r="E461">
            <v>9500</v>
          </cell>
        </row>
        <row r="462">
          <cell r="A462">
            <v>8903287023019</v>
          </cell>
          <cell r="B462" t="str">
            <v>DUMMY ELENA AQUA SX</v>
          </cell>
          <cell r="C462" t="str">
            <v>FLU</v>
          </cell>
          <cell r="D462" t="str">
            <v>FL</v>
          </cell>
          <cell r="E462">
            <v>9500</v>
          </cell>
        </row>
        <row r="463">
          <cell r="A463">
            <v>8903287023026</v>
          </cell>
          <cell r="B463" t="str">
            <v>DUMMY ELENA STEAM</v>
          </cell>
          <cell r="C463" t="str">
            <v>FLU</v>
          </cell>
          <cell r="D463" t="str">
            <v>FL</v>
          </cell>
          <cell r="E463">
            <v>9500</v>
          </cell>
        </row>
        <row r="464">
          <cell r="A464">
            <v>8903287023033</v>
          </cell>
          <cell r="B464" t="str">
            <v>DUMMY EVA AQUA VX</v>
          </cell>
          <cell r="C464" t="str">
            <v>FLU</v>
          </cell>
          <cell r="D464" t="str">
            <v>FL</v>
          </cell>
          <cell r="E464">
            <v>9500</v>
          </cell>
        </row>
        <row r="465">
          <cell r="A465">
            <v>8903287023040</v>
          </cell>
          <cell r="B465" t="str">
            <v>SENATOR SMART VX</v>
          </cell>
          <cell r="C465" t="str">
            <v>FLU</v>
          </cell>
          <cell r="D465" t="str">
            <v>FL</v>
          </cell>
          <cell r="E465">
            <v>45190</v>
          </cell>
        </row>
        <row r="466">
          <cell r="A466">
            <v>8903287023057</v>
          </cell>
          <cell r="B466" t="str">
            <v>SENATOR SMART TOUCH VX</v>
          </cell>
          <cell r="C466" t="str">
            <v>FLU</v>
          </cell>
          <cell r="D466" t="str">
            <v>FL</v>
          </cell>
          <cell r="E466">
            <v>55980</v>
          </cell>
        </row>
        <row r="467">
          <cell r="A467">
            <v>8903287023064</v>
          </cell>
          <cell r="B467" t="str">
            <v>ULTRA PLUS 7.5KG SOLAR</v>
          </cell>
          <cell r="C467" t="str">
            <v>FLU</v>
          </cell>
          <cell r="D467" t="str">
            <v>FL</v>
          </cell>
          <cell r="E467">
            <v>39999</v>
          </cell>
        </row>
        <row r="468">
          <cell r="A468">
            <v>8903287023309</v>
          </cell>
          <cell r="B468" t="str">
            <v>SENATOR EASY TOUCH</v>
          </cell>
          <cell r="C468" t="str">
            <v>FLU</v>
          </cell>
          <cell r="D468" t="str">
            <v>FL</v>
          </cell>
          <cell r="E468">
            <v>55000</v>
          </cell>
        </row>
        <row r="469">
          <cell r="A469">
            <v>8903287023330</v>
          </cell>
          <cell r="B469" t="str">
            <v>ELENA AQUA STEAM VX</v>
          </cell>
          <cell r="C469" t="str">
            <v>FLU</v>
          </cell>
          <cell r="D469" t="str">
            <v>FL</v>
          </cell>
          <cell r="E469">
            <v>29990</v>
          </cell>
        </row>
        <row r="470">
          <cell r="A470">
            <v>8903287023347</v>
          </cell>
          <cell r="B470" t="str">
            <v>ELITE PLUS VX</v>
          </cell>
          <cell r="C470" t="str">
            <v>FLU</v>
          </cell>
          <cell r="D470" t="str">
            <v>FL</v>
          </cell>
          <cell r="E470">
            <v>35490</v>
          </cell>
        </row>
        <row r="471">
          <cell r="A471">
            <v>8903287023361</v>
          </cell>
          <cell r="B471" t="str">
            <v>EXECUTIVE PLUS VX</v>
          </cell>
          <cell r="C471" t="str">
            <v>FLU</v>
          </cell>
          <cell r="D471" t="str">
            <v>FL</v>
          </cell>
          <cell r="E471">
            <v>41590</v>
          </cell>
        </row>
        <row r="472">
          <cell r="A472">
            <v>8903287023378</v>
          </cell>
          <cell r="B472" t="str">
            <v>EXECUTIVE PLUS SX</v>
          </cell>
          <cell r="C472" t="str">
            <v>FLU</v>
          </cell>
          <cell r="D472" t="str">
            <v>FL</v>
          </cell>
          <cell r="E472">
            <v>44990</v>
          </cell>
        </row>
        <row r="473">
          <cell r="A473">
            <v>8903287023415</v>
          </cell>
          <cell r="B473" t="str">
            <v>EVA AQUA VX LDT</v>
          </cell>
          <cell r="C473" t="str">
            <v>FLU</v>
          </cell>
          <cell r="D473" t="str">
            <v>FL</v>
          </cell>
          <cell r="E473">
            <v>26590</v>
          </cell>
        </row>
        <row r="474">
          <cell r="A474">
            <v>8903287023422</v>
          </cell>
          <cell r="B474" t="str">
            <v>EVA AQUA SX LDT</v>
          </cell>
          <cell r="C474" t="str">
            <v>FLU</v>
          </cell>
          <cell r="D474" t="str">
            <v>FL</v>
          </cell>
          <cell r="E474">
            <v>27990</v>
          </cell>
        </row>
        <row r="475">
          <cell r="A475">
            <v>8903287023439</v>
          </cell>
          <cell r="B475" t="str">
            <v>DIVA AQUA VX</v>
          </cell>
          <cell r="C475" t="str">
            <v>FLU</v>
          </cell>
          <cell r="D475" t="str">
            <v>FL</v>
          </cell>
          <cell r="E475">
            <v>25690</v>
          </cell>
        </row>
        <row r="476">
          <cell r="A476">
            <v>8903287023446</v>
          </cell>
          <cell r="B476" t="str">
            <v>SENATOR SMART DOS 7 KG</v>
          </cell>
          <cell r="C476" t="str">
            <v>FLU</v>
          </cell>
          <cell r="D476" t="str">
            <v>FL</v>
          </cell>
          <cell r="E476">
            <v>45000</v>
          </cell>
        </row>
        <row r="477">
          <cell r="A477">
            <v>8903287023460</v>
          </cell>
          <cell r="B477" t="str">
            <v>ELITE PLUS VX ID</v>
          </cell>
          <cell r="C477" t="str">
            <v>FLU</v>
          </cell>
          <cell r="D477" t="str">
            <v>FL</v>
          </cell>
          <cell r="E477">
            <v>42490</v>
          </cell>
        </row>
        <row r="478">
          <cell r="A478">
            <v>8903287023477</v>
          </cell>
          <cell r="B478" t="str">
            <v>EXECUTIVE PLUS VX ID</v>
          </cell>
          <cell r="C478" t="str">
            <v>FLU</v>
          </cell>
          <cell r="D478" t="str">
            <v>FL</v>
          </cell>
          <cell r="E478">
            <v>48690</v>
          </cell>
        </row>
        <row r="479">
          <cell r="A479">
            <v>8903287023484</v>
          </cell>
          <cell r="B479" t="str">
            <v>ELENA AQUA VX LDT</v>
          </cell>
          <cell r="C479" t="str">
            <v>FLU</v>
          </cell>
          <cell r="D479" t="str">
            <v>FL</v>
          </cell>
          <cell r="E479">
            <v>25990</v>
          </cell>
        </row>
        <row r="480">
          <cell r="A480">
            <v>8903287023491</v>
          </cell>
          <cell r="B480" t="str">
            <v>ELENA AQUA SX LDT</v>
          </cell>
          <cell r="C480" t="str">
            <v>FLU</v>
          </cell>
          <cell r="D480" t="str">
            <v>FL</v>
          </cell>
          <cell r="E480">
            <v>29290</v>
          </cell>
        </row>
        <row r="481">
          <cell r="A481">
            <v>8903287023514</v>
          </cell>
          <cell r="B481" t="str">
            <v>SERENA AQUA SX LDT</v>
          </cell>
          <cell r="C481" t="str">
            <v>FLU</v>
          </cell>
          <cell r="D481" t="str">
            <v>FL</v>
          </cell>
          <cell r="E481">
            <v>29990</v>
          </cell>
        </row>
        <row r="482">
          <cell r="A482">
            <v>8903287023521</v>
          </cell>
          <cell r="B482" t="str">
            <v>ELITE AQUA SXR</v>
          </cell>
          <cell r="C482" t="str">
            <v>FLU</v>
          </cell>
          <cell r="D482" t="str">
            <v>FL</v>
          </cell>
          <cell r="E482">
            <v>38990</v>
          </cell>
        </row>
        <row r="483">
          <cell r="A483">
            <v>8903287023538</v>
          </cell>
          <cell r="B483" t="str">
            <v>ELITE AQUA SXG</v>
          </cell>
          <cell r="C483" t="str">
            <v>FLU</v>
          </cell>
          <cell r="D483" t="str">
            <v>FL</v>
          </cell>
          <cell r="E483">
            <v>35990</v>
          </cell>
        </row>
        <row r="484">
          <cell r="A484">
            <v>8903287023545</v>
          </cell>
          <cell r="B484" t="str">
            <v>ELITE AQUA SXM</v>
          </cell>
          <cell r="C484" t="str">
            <v>FLU</v>
          </cell>
          <cell r="D484" t="str">
            <v>FL</v>
          </cell>
          <cell r="E484">
            <v>35990</v>
          </cell>
        </row>
        <row r="485">
          <cell r="A485">
            <v>8903287023576</v>
          </cell>
          <cell r="B485" t="str">
            <v>SERENA AQUA SX 7 KG LDT</v>
          </cell>
          <cell r="C485" t="str">
            <v>FLU</v>
          </cell>
          <cell r="D485" t="str">
            <v>FL</v>
          </cell>
          <cell r="E485">
            <v>35590</v>
          </cell>
        </row>
        <row r="486">
          <cell r="A486">
            <v>8903287023583</v>
          </cell>
          <cell r="B486" t="str">
            <v>SERENA AQUA VX 7 KG LDT</v>
          </cell>
          <cell r="C486" t="str">
            <v>FLU</v>
          </cell>
          <cell r="D486" t="str">
            <v>FL</v>
          </cell>
          <cell r="E486">
            <v>31890</v>
          </cell>
        </row>
        <row r="487">
          <cell r="A487">
            <v>8903287023590</v>
          </cell>
          <cell r="B487" t="str">
            <v>DIVA AQUA SX</v>
          </cell>
          <cell r="C487" t="str">
            <v>FLU</v>
          </cell>
          <cell r="D487" t="str">
            <v>FL</v>
          </cell>
          <cell r="E487">
            <v>26990</v>
          </cell>
        </row>
        <row r="488">
          <cell r="A488">
            <v>8903287023705</v>
          </cell>
          <cell r="B488" t="str">
            <v>ELITE AQUA VXS</v>
          </cell>
          <cell r="C488" t="str">
            <v>FLU</v>
          </cell>
          <cell r="D488" t="str">
            <v>FL</v>
          </cell>
          <cell r="E488">
            <v>37490</v>
          </cell>
        </row>
        <row r="489">
          <cell r="A489">
            <v>8903287023712</v>
          </cell>
          <cell r="B489" t="str">
            <v>ULTRA PLUS NEXXT 6.5 KG SX</v>
          </cell>
          <cell r="C489" t="str">
            <v>FLU</v>
          </cell>
          <cell r="D489" t="str">
            <v>FL</v>
          </cell>
          <cell r="E489">
            <v>33490</v>
          </cell>
        </row>
        <row r="490">
          <cell r="A490">
            <v>8903287023729</v>
          </cell>
          <cell r="B490" t="str">
            <v>ULTRA PLUS NEXXT 7.0 KG SX</v>
          </cell>
          <cell r="C490" t="str">
            <v>FLU</v>
          </cell>
          <cell r="D490" t="str">
            <v>FL</v>
          </cell>
          <cell r="E490">
            <v>36990</v>
          </cell>
        </row>
        <row r="491">
          <cell r="A491">
            <v>8903287023736</v>
          </cell>
          <cell r="B491" t="str">
            <v>ULTRA PLUS NEXXT 7.5 KG SX</v>
          </cell>
          <cell r="C491" t="str">
            <v>FLU</v>
          </cell>
          <cell r="D491" t="str">
            <v>FL</v>
          </cell>
          <cell r="E491">
            <v>37990</v>
          </cell>
        </row>
        <row r="492">
          <cell r="A492">
            <v>8903287023743</v>
          </cell>
          <cell r="B492" t="str">
            <v>ULTRA PLUS NEXXT 8.5 KG SX</v>
          </cell>
          <cell r="C492" t="str">
            <v>FLU</v>
          </cell>
          <cell r="D492" t="str">
            <v>FL</v>
          </cell>
          <cell r="E492">
            <v>39490</v>
          </cell>
        </row>
        <row r="493">
          <cell r="A493">
            <v>8903287023804</v>
          </cell>
          <cell r="B493" t="str">
            <v>SENORITA WX</v>
          </cell>
          <cell r="C493" t="str">
            <v>FLU</v>
          </cell>
          <cell r="D493" t="str">
            <v>FL</v>
          </cell>
          <cell r="E493">
            <v>36590</v>
          </cell>
        </row>
        <row r="494">
          <cell r="A494">
            <v>8903287023811</v>
          </cell>
          <cell r="B494" t="str">
            <v>SERENA WX</v>
          </cell>
          <cell r="C494" t="str">
            <v>FLU</v>
          </cell>
          <cell r="D494" t="str">
            <v>FL</v>
          </cell>
          <cell r="E494">
            <v>38790</v>
          </cell>
        </row>
        <row r="495">
          <cell r="A495">
            <v>8903287023828</v>
          </cell>
          <cell r="B495" t="str">
            <v>ELITE ZX</v>
          </cell>
          <cell r="C495" t="str">
            <v>FLU</v>
          </cell>
          <cell r="D495" t="str">
            <v>FL</v>
          </cell>
          <cell r="E495">
            <v>37990</v>
          </cell>
        </row>
        <row r="496">
          <cell r="A496">
            <v>8903287023835</v>
          </cell>
          <cell r="B496" t="str">
            <v>SENATOR ZX</v>
          </cell>
          <cell r="C496" t="str">
            <v>FLU</v>
          </cell>
          <cell r="D496" t="str">
            <v>FL</v>
          </cell>
          <cell r="E496">
            <v>39490</v>
          </cell>
        </row>
        <row r="497">
          <cell r="A497">
            <v>8903287023897</v>
          </cell>
          <cell r="B497" t="str">
            <v>SENATOR SMART TOUCH SX W/O PDL</v>
          </cell>
          <cell r="C497" t="str">
            <v>FLU</v>
          </cell>
          <cell r="D497" t="str">
            <v>FL</v>
          </cell>
          <cell r="E497">
            <v>46090</v>
          </cell>
        </row>
        <row r="498">
          <cell r="A498">
            <v>8903287023903</v>
          </cell>
          <cell r="B498" t="str">
            <v>SENATOR SMART VX W/O PDL</v>
          </cell>
          <cell r="C498" t="str">
            <v>FLU</v>
          </cell>
          <cell r="D498" t="str">
            <v>FL</v>
          </cell>
          <cell r="E498">
            <v>40590</v>
          </cell>
        </row>
        <row r="499">
          <cell r="A499">
            <v>8903287023910</v>
          </cell>
          <cell r="B499" t="str">
            <v>ELITE PLUS SX ID</v>
          </cell>
          <cell r="C499" t="str">
            <v>FLU</v>
          </cell>
          <cell r="D499" t="str">
            <v>FL</v>
          </cell>
          <cell r="E499">
            <v>44990</v>
          </cell>
        </row>
        <row r="500">
          <cell r="A500">
            <v>8903287023927</v>
          </cell>
          <cell r="B500" t="str">
            <v>EXECUTIVE PLUS SX ID</v>
          </cell>
          <cell r="C500" t="str">
            <v>FLU</v>
          </cell>
          <cell r="D500" t="str">
            <v>FL</v>
          </cell>
          <cell r="E500">
            <v>45990</v>
          </cell>
        </row>
        <row r="501">
          <cell r="A501">
            <v>8903287023934</v>
          </cell>
          <cell r="B501" t="str">
            <v>ELITE WX</v>
          </cell>
          <cell r="C501" t="str">
            <v>FLU</v>
          </cell>
          <cell r="D501" t="str">
            <v>FL</v>
          </cell>
          <cell r="E501">
            <v>39790</v>
          </cell>
        </row>
        <row r="502">
          <cell r="A502">
            <v>8903287023941</v>
          </cell>
          <cell r="B502" t="str">
            <v>SENORITA WXS</v>
          </cell>
          <cell r="C502" t="str">
            <v>FLU</v>
          </cell>
          <cell r="D502" t="str">
            <v>FL</v>
          </cell>
          <cell r="E502">
            <v>38790</v>
          </cell>
        </row>
        <row r="503">
          <cell r="A503">
            <v>8903287023996</v>
          </cell>
          <cell r="B503" t="str">
            <v>SENORITA SMART SX</v>
          </cell>
          <cell r="C503" t="str">
            <v>FLU</v>
          </cell>
          <cell r="D503" t="str">
            <v>FL</v>
          </cell>
          <cell r="E503">
            <v>35990</v>
          </cell>
        </row>
        <row r="504">
          <cell r="A504">
            <v>8903287024009</v>
          </cell>
          <cell r="B504" t="str">
            <v>SERENA AQUA VX 6.5KG LDT</v>
          </cell>
          <cell r="C504" t="str">
            <v>FLU</v>
          </cell>
          <cell r="D504" t="str">
            <v>FL</v>
          </cell>
          <cell r="E504">
            <v>29990</v>
          </cell>
        </row>
        <row r="505">
          <cell r="A505">
            <v>8903287024023</v>
          </cell>
          <cell r="B505" t="str">
            <v>SENATOR WXS</v>
          </cell>
          <cell r="C505" t="str">
            <v>FLU</v>
          </cell>
          <cell r="D505" t="str">
            <v>FL</v>
          </cell>
          <cell r="E505">
            <v>42990</v>
          </cell>
        </row>
        <row r="506">
          <cell r="A506">
            <v>8903287024115</v>
          </cell>
          <cell r="B506" t="str">
            <v>EVA ZX</v>
          </cell>
          <cell r="C506" t="str">
            <v>FLU</v>
          </cell>
          <cell r="D506" t="str">
            <v>FL</v>
          </cell>
          <cell r="E506">
            <v>32590</v>
          </cell>
        </row>
        <row r="507">
          <cell r="A507">
            <v>8903287024139</v>
          </cell>
          <cell r="B507" t="str">
            <v>ELENA ZX</v>
          </cell>
          <cell r="C507" t="str">
            <v>FLU</v>
          </cell>
          <cell r="D507" t="str">
            <v>FL</v>
          </cell>
          <cell r="E507">
            <v>34590</v>
          </cell>
        </row>
        <row r="508">
          <cell r="A508">
            <v>8903287024153</v>
          </cell>
          <cell r="B508" t="str">
            <v>SENORITA ZX</v>
          </cell>
          <cell r="C508" t="str">
            <v>FLU</v>
          </cell>
          <cell r="D508" t="str">
            <v>FL</v>
          </cell>
          <cell r="E508">
            <v>38790</v>
          </cell>
        </row>
        <row r="509">
          <cell r="A509">
            <v>8903287024177</v>
          </cell>
          <cell r="B509" t="str">
            <v>EXECUTIVE PLUS VXR</v>
          </cell>
          <cell r="C509" t="str">
            <v>FLU</v>
          </cell>
          <cell r="D509" t="str">
            <v>FL</v>
          </cell>
          <cell r="E509">
            <v>44990</v>
          </cell>
        </row>
        <row r="510">
          <cell r="A510">
            <v>8903287024184</v>
          </cell>
          <cell r="B510" t="str">
            <v>ELITE PLUS SXR</v>
          </cell>
          <cell r="C510" t="str">
            <v>FLU</v>
          </cell>
          <cell r="D510" t="str">
            <v>FL</v>
          </cell>
          <cell r="E510">
            <v>41290</v>
          </cell>
        </row>
        <row r="511">
          <cell r="A511">
            <v>8903287024238</v>
          </cell>
          <cell r="B511" t="str">
            <v>SENORITA ZXS</v>
          </cell>
          <cell r="C511" t="str">
            <v>FLU</v>
          </cell>
          <cell r="D511" t="str">
            <v>FL</v>
          </cell>
          <cell r="E511">
            <v>34990</v>
          </cell>
        </row>
        <row r="512">
          <cell r="A512">
            <v>8903287024245</v>
          </cell>
          <cell r="B512" t="str">
            <v>SERENA AQUA SXA 6.5 KG LDT</v>
          </cell>
          <cell r="C512" t="str">
            <v>FLU</v>
          </cell>
          <cell r="D512" t="str">
            <v>FL</v>
          </cell>
          <cell r="E512">
            <v>30790</v>
          </cell>
        </row>
        <row r="513">
          <cell r="A513">
            <v>8903287024252</v>
          </cell>
          <cell r="B513" t="str">
            <v>SERENA AQUA SXA 7.0 KG LDT</v>
          </cell>
          <cell r="C513" t="str">
            <v>FLU</v>
          </cell>
          <cell r="D513" t="str">
            <v>FL</v>
          </cell>
          <cell r="E513">
            <v>32290</v>
          </cell>
        </row>
        <row r="514">
          <cell r="A514">
            <v>8903287024269</v>
          </cell>
          <cell r="B514" t="str">
            <v>SERENA AQUA VXC 6.5 KG LDT</v>
          </cell>
          <cell r="C514" t="str">
            <v>FLU</v>
          </cell>
          <cell r="D514" t="str">
            <v>FL</v>
          </cell>
          <cell r="E514">
            <v>29490</v>
          </cell>
        </row>
        <row r="515">
          <cell r="A515">
            <v>8903287024306</v>
          </cell>
          <cell r="B515" t="str">
            <v>EVA ZXS</v>
          </cell>
          <cell r="C515" t="str">
            <v>FLU</v>
          </cell>
          <cell r="D515" t="str">
            <v>FL</v>
          </cell>
          <cell r="E515">
            <v>34090</v>
          </cell>
        </row>
        <row r="516">
          <cell r="A516">
            <v>8903287024313</v>
          </cell>
          <cell r="B516" t="str">
            <v>ELENA ZXS</v>
          </cell>
          <cell r="C516" t="str">
            <v>FLU</v>
          </cell>
          <cell r="D516" t="str">
            <v>FL</v>
          </cell>
          <cell r="E516">
            <v>36090</v>
          </cell>
        </row>
        <row r="517">
          <cell r="A517">
            <v>8903287024320</v>
          </cell>
          <cell r="B517" t="str">
            <v>ELITE ZXS</v>
          </cell>
          <cell r="C517" t="str">
            <v>FLU</v>
          </cell>
          <cell r="D517" t="str">
            <v>FL</v>
          </cell>
          <cell r="E517">
            <v>39290</v>
          </cell>
        </row>
        <row r="518">
          <cell r="A518">
            <v>8903287024351</v>
          </cell>
          <cell r="B518" t="str">
            <v>NEO DIVA VX</v>
          </cell>
          <cell r="C518" t="str">
            <v>FLU</v>
          </cell>
          <cell r="D518" t="str">
            <v>FL</v>
          </cell>
          <cell r="E518">
            <v>29590</v>
          </cell>
        </row>
        <row r="519">
          <cell r="A519">
            <v>8903287024368</v>
          </cell>
          <cell r="B519" t="str">
            <v>NEO DIVA SX</v>
          </cell>
          <cell r="C519" t="str">
            <v>FLU</v>
          </cell>
          <cell r="D519" t="str">
            <v>FL</v>
          </cell>
          <cell r="E519">
            <v>31090</v>
          </cell>
        </row>
        <row r="520">
          <cell r="A520">
            <v>8903287024375</v>
          </cell>
          <cell r="B520" t="str">
            <v>SERENA ZXS</v>
          </cell>
          <cell r="C520" t="str">
            <v>FLU</v>
          </cell>
          <cell r="D520" t="str">
            <v>FL</v>
          </cell>
          <cell r="E520">
            <v>37790</v>
          </cell>
        </row>
        <row r="521">
          <cell r="A521">
            <v>8903287024382</v>
          </cell>
          <cell r="B521" t="str">
            <v>SERENA WXS</v>
          </cell>
          <cell r="C521" t="str">
            <v>FLU</v>
          </cell>
          <cell r="D521" t="str">
            <v>FL</v>
          </cell>
          <cell r="E521">
            <v>39790</v>
          </cell>
        </row>
        <row r="522">
          <cell r="A522">
            <v>8903287024399</v>
          </cell>
          <cell r="B522" t="str">
            <v>SENATOR PLUS SX</v>
          </cell>
          <cell r="C522" t="str">
            <v>FLU</v>
          </cell>
          <cell r="D522" t="str">
            <v>FL</v>
          </cell>
          <cell r="E522">
            <v>42490</v>
          </cell>
        </row>
        <row r="523">
          <cell r="A523">
            <v>8903287024405</v>
          </cell>
          <cell r="B523" t="str">
            <v>SUPREMO WXS</v>
          </cell>
          <cell r="C523" t="str">
            <v>FLU</v>
          </cell>
          <cell r="D523" t="str">
            <v>FL</v>
          </cell>
          <cell r="E523">
            <v>38990</v>
          </cell>
        </row>
        <row r="524">
          <cell r="A524">
            <v>8903287024474</v>
          </cell>
          <cell r="B524" t="str">
            <v>ELITE PLUS WXS</v>
          </cell>
          <cell r="C524" t="str">
            <v>FLU</v>
          </cell>
          <cell r="D524" t="str">
            <v>FL</v>
          </cell>
          <cell r="E524">
            <v>39790</v>
          </cell>
        </row>
        <row r="525">
          <cell r="A525">
            <v>8903287024481</v>
          </cell>
          <cell r="B525" t="str">
            <v>EVA PLUS ZX</v>
          </cell>
          <cell r="C525" t="str">
            <v>FLU</v>
          </cell>
          <cell r="D525" t="str">
            <v>FL</v>
          </cell>
          <cell r="E525">
            <v>32790</v>
          </cell>
        </row>
        <row r="526">
          <cell r="A526">
            <v>8903287024498</v>
          </cell>
          <cell r="B526" t="str">
            <v>ELENA PLUS ZX</v>
          </cell>
          <cell r="C526" t="str">
            <v>FLU</v>
          </cell>
          <cell r="D526" t="str">
            <v>FL</v>
          </cell>
          <cell r="E526">
            <v>32990</v>
          </cell>
        </row>
        <row r="527">
          <cell r="A527">
            <v>8903287024504</v>
          </cell>
          <cell r="B527" t="str">
            <v>NEO DIVA VX 7KG</v>
          </cell>
          <cell r="C527" t="str">
            <v>FLU</v>
          </cell>
          <cell r="D527" t="str">
            <v>FL</v>
          </cell>
          <cell r="E527">
            <v>34290</v>
          </cell>
        </row>
        <row r="528">
          <cell r="A528">
            <v>8903287024511</v>
          </cell>
          <cell r="B528" t="str">
            <v>NEO DIVA SX 7KG</v>
          </cell>
          <cell r="C528" t="str">
            <v>FLU</v>
          </cell>
          <cell r="D528" t="str">
            <v>FL</v>
          </cell>
          <cell r="E528">
            <v>35790</v>
          </cell>
        </row>
        <row r="529">
          <cell r="A529">
            <v>8903287024580</v>
          </cell>
          <cell r="B529" t="str">
            <v>SENATOR VXS 0812</v>
          </cell>
          <cell r="C529" t="str">
            <v>FLU</v>
          </cell>
          <cell r="D529" t="str">
            <v>FL</v>
          </cell>
          <cell r="E529">
            <v>40990</v>
          </cell>
        </row>
        <row r="530">
          <cell r="A530">
            <v>8903287024597</v>
          </cell>
          <cell r="B530" t="str">
            <v>SENATOR SMART TOUCH SX 8514</v>
          </cell>
          <cell r="C530" t="str">
            <v>FLU</v>
          </cell>
          <cell r="D530" t="str">
            <v>FL</v>
          </cell>
          <cell r="E530">
            <v>50490</v>
          </cell>
        </row>
        <row r="531">
          <cell r="A531">
            <v>8903287024641</v>
          </cell>
          <cell r="B531" t="str">
            <v>DIVA AQUA BX</v>
          </cell>
          <cell r="C531" t="str">
            <v>FLU</v>
          </cell>
          <cell r="D531" t="str">
            <v>FL</v>
          </cell>
          <cell r="E531">
            <v>26390</v>
          </cell>
        </row>
        <row r="532">
          <cell r="A532">
            <v>8903287024658</v>
          </cell>
          <cell r="B532" t="str">
            <v>DIVA PLUS VX</v>
          </cell>
          <cell r="C532" t="str">
            <v>FLU</v>
          </cell>
          <cell r="D532" t="str">
            <v>FL</v>
          </cell>
          <cell r="E532">
            <v>27190</v>
          </cell>
        </row>
        <row r="533">
          <cell r="A533">
            <v>8903287024665</v>
          </cell>
          <cell r="B533" t="str">
            <v>DIVA PLUS BX</v>
          </cell>
          <cell r="C533" t="str">
            <v>FLU</v>
          </cell>
          <cell r="D533" t="str">
            <v>FL</v>
          </cell>
          <cell r="E533">
            <v>27990</v>
          </cell>
        </row>
        <row r="534">
          <cell r="A534">
            <v>8903287024672</v>
          </cell>
          <cell r="B534" t="str">
            <v>NEO DIVA BX 7KG</v>
          </cell>
          <cell r="C534" t="str">
            <v>FLU</v>
          </cell>
          <cell r="D534" t="str">
            <v>FL</v>
          </cell>
          <cell r="E534">
            <v>34290</v>
          </cell>
        </row>
        <row r="535">
          <cell r="A535">
            <v>8903287024689</v>
          </cell>
          <cell r="B535" t="str">
            <v>SENATOR PLUS VX</v>
          </cell>
          <cell r="C535" t="str">
            <v>FLU</v>
          </cell>
          <cell r="D535" t="str">
            <v>FL</v>
          </cell>
          <cell r="E535">
            <v>39990</v>
          </cell>
        </row>
        <row r="536">
          <cell r="A536">
            <v>8903287024702</v>
          </cell>
          <cell r="B536" t="str">
            <v>SENATOR S8014SBC</v>
          </cell>
          <cell r="C536" t="str">
            <v>FLU</v>
          </cell>
          <cell r="D536" t="str">
            <v>FL</v>
          </cell>
          <cell r="E536">
            <v>45990</v>
          </cell>
        </row>
        <row r="537">
          <cell r="A537">
            <v>8903287024788</v>
          </cell>
          <cell r="B537" t="str">
            <v>SENATOR WSS STEAM</v>
          </cell>
          <cell r="C537" t="str">
            <v>FLU</v>
          </cell>
          <cell r="D537" t="str">
            <v>FL</v>
          </cell>
          <cell r="E537">
            <v>51690</v>
          </cell>
        </row>
        <row r="538">
          <cell r="A538">
            <v>8903287024825</v>
          </cell>
          <cell r="B538" t="str">
            <v>NEO DIVA VX 1000</v>
          </cell>
          <cell r="C538" t="str">
            <v>FLU</v>
          </cell>
          <cell r="D538" t="str">
            <v>FL</v>
          </cell>
          <cell r="E538">
            <v>29590</v>
          </cell>
        </row>
        <row r="539">
          <cell r="A539">
            <v>8903287024832</v>
          </cell>
          <cell r="B539" t="str">
            <v>NEO DIVA SX 1000</v>
          </cell>
          <cell r="C539" t="str">
            <v>FLU</v>
          </cell>
          <cell r="D539" t="str">
            <v>FL</v>
          </cell>
          <cell r="E539">
            <v>31090</v>
          </cell>
        </row>
        <row r="540">
          <cell r="A540">
            <v>8903287024856</v>
          </cell>
          <cell r="B540" t="str">
            <v>SENATOR SX ID 8012</v>
          </cell>
          <cell r="C540" t="str">
            <v>FLU</v>
          </cell>
          <cell r="D540" t="str">
            <v>FL</v>
          </cell>
          <cell r="E540">
            <v>44990</v>
          </cell>
        </row>
        <row r="541">
          <cell r="A541">
            <v>8903287024894</v>
          </cell>
          <cell r="B541" t="str">
            <v>EXECUTIVE S9014SBC</v>
          </cell>
          <cell r="C541" t="str">
            <v>FLU</v>
          </cell>
          <cell r="D541" t="str">
            <v>FL</v>
          </cell>
          <cell r="E541">
            <v>48990</v>
          </cell>
        </row>
        <row r="542">
          <cell r="A542">
            <v>8903287024924</v>
          </cell>
          <cell r="B542" t="str">
            <v>ELITE SXC</v>
          </cell>
          <cell r="C542" t="str">
            <v>FLU</v>
          </cell>
          <cell r="D542" t="str">
            <v>FL</v>
          </cell>
          <cell r="E542">
            <v>41990</v>
          </cell>
        </row>
        <row r="543">
          <cell r="A543">
            <v>8903287024955</v>
          </cell>
          <cell r="B543" t="str">
            <v>DIVA AQUA WS</v>
          </cell>
          <cell r="C543" t="str">
            <v>FLU</v>
          </cell>
          <cell r="D543" t="str">
            <v>FL</v>
          </cell>
          <cell r="E543">
            <v>26390</v>
          </cell>
        </row>
        <row r="544">
          <cell r="A544">
            <v>8903287024962</v>
          </cell>
          <cell r="B544" t="str">
            <v>ELITE ZXL</v>
          </cell>
          <cell r="C544" t="str">
            <v>FLU</v>
          </cell>
          <cell r="D544" t="str">
            <v>FL</v>
          </cell>
          <cell r="E544">
            <v>42290</v>
          </cell>
        </row>
        <row r="545">
          <cell r="A545">
            <v>8903287024979</v>
          </cell>
          <cell r="B545" t="str">
            <v>ELITE ZXR</v>
          </cell>
          <cell r="C545" t="str">
            <v>FLU</v>
          </cell>
          <cell r="D545" t="str">
            <v>FL</v>
          </cell>
          <cell r="E545">
            <v>42290</v>
          </cell>
        </row>
        <row r="546">
          <cell r="A546">
            <v>8903287025334</v>
          </cell>
          <cell r="B546" t="str">
            <v>SENATOR PLUS SXC</v>
          </cell>
          <cell r="C546" t="str">
            <v>FLU</v>
          </cell>
          <cell r="D546" t="str">
            <v>FL</v>
          </cell>
          <cell r="E546">
            <v>57290</v>
          </cell>
        </row>
        <row r="547">
          <cell r="A547">
            <v>8903287025341</v>
          </cell>
          <cell r="B547" t="str">
            <v>SENATOR PLUS MXC</v>
          </cell>
          <cell r="C547" t="str">
            <v>FLU</v>
          </cell>
          <cell r="D547" t="str">
            <v>FL</v>
          </cell>
          <cell r="E547">
            <v>59290</v>
          </cell>
        </row>
        <row r="548">
          <cell r="A548">
            <v>8903287025358</v>
          </cell>
          <cell r="B548" t="str">
            <v>EXECUTIVE MXC 9014</v>
          </cell>
          <cell r="C548" t="str">
            <v>FLU</v>
          </cell>
          <cell r="D548" t="str">
            <v>FL</v>
          </cell>
          <cell r="E548">
            <v>60990</v>
          </cell>
        </row>
        <row r="549">
          <cell r="A549">
            <v>8903287025389</v>
          </cell>
          <cell r="B549" t="str">
            <v>ELENA SX 6510</v>
          </cell>
          <cell r="C549" t="str">
            <v>FLU</v>
          </cell>
          <cell r="D549" t="str">
            <v>FL</v>
          </cell>
          <cell r="E549">
            <v>29690</v>
          </cell>
        </row>
        <row r="550">
          <cell r="A550">
            <v>8903287025396</v>
          </cell>
          <cell r="B550" t="str">
            <v>NEO DIVA WS 7010</v>
          </cell>
          <cell r="C550" t="str">
            <v>FLU</v>
          </cell>
          <cell r="D550" t="str">
            <v>FL</v>
          </cell>
          <cell r="E550">
            <v>34590</v>
          </cell>
        </row>
        <row r="551">
          <cell r="A551">
            <v>8903287025402</v>
          </cell>
          <cell r="B551" t="str">
            <v>SENATOR VSS 8012</v>
          </cell>
          <cell r="C551" t="str">
            <v>FLU</v>
          </cell>
          <cell r="D551" t="str">
            <v>FL</v>
          </cell>
          <cell r="E551">
            <v>40990</v>
          </cell>
        </row>
        <row r="552">
          <cell r="A552">
            <v>8903287025419</v>
          </cell>
          <cell r="B552" t="str">
            <v>SENATOR PLUS SRS 8012</v>
          </cell>
          <cell r="C552" t="str">
            <v>FLU</v>
          </cell>
          <cell r="D552" t="str">
            <v>FL</v>
          </cell>
          <cell r="E552">
            <v>48590</v>
          </cell>
        </row>
        <row r="553">
          <cell r="A553">
            <v>8903287025426</v>
          </cell>
          <cell r="B553" t="str">
            <v>SENORITA VXS 6510</v>
          </cell>
          <cell r="C553" t="str">
            <v>FLU</v>
          </cell>
          <cell r="D553" t="str">
            <v>FL</v>
          </cell>
          <cell r="E553">
            <v>38990</v>
          </cell>
        </row>
        <row r="554">
          <cell r="A554">
            <v>8903287025433</v>
          </cell>
          <cell r="B554" t="str">
            <v>SENORITA SXS 6510</v>
          </cell>
          <cell r="C554" t="str">
            <v>FLU</v>
          </cell>
          <cell r="D554" t="str">
            <v>FL</v>
          </cell>
          <cell r="E554">
            <v>40490</v>
          </cell>
        </row>
        <row r="555">
          <cell r="A555">
            <v>8903287025471</v>
          </cell>
          <cell r="B555" t="str">
            <v>SENATOR PLUS SXB</v>
          </cell>
          <cell r="C555" t="str">
            <v>FLU</v>
          </cell>
          <cell r="D555" t="str">
            <v>FL</v>
          </cell>
          <cell r="E555">
            <v>46490</v>
          </cell>
        </row>
        <row r="556">
          <cell r="A556">
            <v>8903287025488</v>
          </cell>
          <cell r="B556" t="str">
            <v>SENATOR PLUS WXB</v>
          </cell>
          <cell r="C556" t="str">
            <v>FLU</v>
          </cell>
          <cell r="D556" t="str">
            <v>FL</v>
          </cell>
          <cell r="E556">
            <v>45490</v>
          </cell>
        </row>
        <row r="557">
          <cell r="A557">
            <v>8903287025525</v>
          </cell>
          <cell r="B557" t="str">
            <v>DIVA AQUA VXS</v>
          </cell>
          <cell r="C557" t="str">
            <v>FLU</v>
          </cell>
          <cell r="D557" t="str">
            <v>FL</v>
          </cell>
          <cell r="E557">
            <v>25990</v>
          </cell>
        </row>
        <row r="558">
          <cell r="A558">
            <v>8903287025570</v>
          </cell>
          <cell r="B558" t="str">
            <v>SENATOR MXS 8012</v>
          </cell>
          <cell r="C558" t="str">
            <v>FLU</v>
          </cell>
          <cell r="D558" t="str">
            <v>FL</v>
          </cell>
          <cell r="E558">
            <v>49990</v>
          </cell>
        </row>
        <row r="559">
          <cell r="A559">
            <v>8903287025587</v>
          </cell>
          <cell r="B559" t="str">
            <v>SENATOR SXS 8012</v>
          </cell>
          <cell r="C559" t="str">
            <v>FLU</v>
          </cell>
          <cell r="D559" t="str">
            <v>FL</v>
          </cell>
          <cell r="E559">
            <v>47990</v>
          </cell>
        </row>
        <row r="560">
          <cell r="A560">
            <v>8903287025594</v>
          </cell>
          <cell r="B560" t="str">
            <v>SENATOR PLUS VXS 8012</v>
          </cell>
          <cell r="C560" t="str">
            <v>FLU</v>
          </cell>
          <cell r="D560" t="str">
            <v>FL</v>
          </cell>
          <cell r="E560">
            <v>47190</v>
          </cell>
        </row>
        <row r="561">
          <cell r="A561">
            <v>8903287025600</v>
          </cell>
          <cell r="B561" t="str">
            <v>SENATOR PLUS SXS 8014</v>
          </cell>
          <cell r="C561" t="str">
            <v>FLU</v>
          </cell>
          <cell r="D561" t="str">
            <v>FL</v>
          </cell>
          <cell r="E561">
            <v>50690</v>
          </cell>
        </row>
        <row r="562">
          <cell r="A562">
            <v>8903287025617</v>
          </cell>
          <cell r="B562" t="str">
            <v>NEO DIVA VXS 7010</v>
          </cell>
          <cell r="C562" t="str">
            <v>FLU</v>
          </cell>
          <cell r="D562" t="str">
            <v>FL</v>
          </cell>
          <cell r="E562">
            <v>40990</v>
          </cell>
        </row>
        <row r="563">
          <cell r="A563">
            <v>8903287025624</v>
          </cell>
          <cell r="B563" t="str">
            <v>NEO DIVA SXS 7010</v>
          </cell>
          <cell r="C563" t="str">
            <v>FLU</v>
          </cell>
          <cell r="D563" t="str">
            <v>FL</v>
          </cell>
          <cell r="E563">
            <v>42490</v>
          </cell>
        </row>
        <row r="564">
          <cell r="A564">
            <v>8903287025631</v>
          </cell>
          <cell r="B564" t="str">
            <v>NEO DIVA BXS 7010</v>
          </cell>
          <cell r="C564" t="str">
            <v>FLU</v>
          </cell>
          <cell r="D564" t="str">
            <v>FL</v>
          </cell>
          <cell r="E564">
            <v>41190</v>
          </cell>
        </row>
        <row r="565">
          <cell r="A565">
            <v>8903287025648</v>
          </cell>
          <cell r="B565" t="str">
            <v>NEO DIVA WSS 7010</v>
          </cell>
          <cell r="C565" t="str">
            <v>FLU</v>
          </cell>
          <cell r="D565" t="str">
            <v>FL</v>
          </cell>
          <cell r="E565">
            <v>36690</v>
          </cell>
        </row>
        <row r="566">
          <cell r="A566">
            <v>8903287025655</v>
          </cell>
          <cell r="B566" t="str">
            <v>SERENA ZSS 7010</v>
          </cell>
          <cell r="C566" t="str">
            <v>FLU</v>
          </cell>
          <cell r="D566" t="str">
            <v>FL</v>
          </cell>
          <cell r="E566">
            <v>44490</v>
          </cell>
        </row>
        <row r="567">
          <cell r="A567">
            <v>8903287025662</v>
          </cell>
          <cell r="B567" t="str">
            <v>SERENA WSS 7012</v>
          </cell>
          <cell r="C567" t="str">
            <v>FLU</v>
          </cell>
          <cell r="D567" t="str">
            <v>FL</v>
          </cell>
          <cell r="E567">
            <v>39790</v>
          </cell>
        </row>
        <row r="568">
          <cell r="A568">
            <v>8903287025679</v>
          </cell>
          <cell r="B568" t="str">
            <v>ELITE PLUS WSS 7012</v>
          </cell>
          <cell r="C568" t="str">
            <v>FLU</v>
          </cell>
          <cell r="D568" t="str">
            <v>FL</v>
          </cell>
          <cell r="E568">
            <v>40490</v>
          </cell>
        </row>
        <row r="569">
          <cell r="A569">
            <v>8903287025686</v>
          </cell>
          <cell r="B569" t="str">
            <v>ELITE MXS 7012</v>
          </cell>
          <cell r="C569" t="str">
            <v>FLU</v>
          </cell>
          <cell r="D569" t="str">
            <v>FL</v>
          </cell>
          <cell r="E569">
            <v>46990</v>
          </cell>
        </row>
        <row r="570">
          <cell r="A570">
            <v>8903287025693</v>
          </cell>
          <cell r="B570" t="str">
            <v>SENORITA WSS 6510</v>
          </cell>
          <cell r="C570" t="str">
            <v>FLU</v>
          </cell>
          <cell r="D570" t="str">
            <v>FL</v>
          </cell>
          <cell r="E570">
            <v>38790</v>
          </cell>
        </row>
        <row r="571">
          <cell r="A571">
            <v>8903287025709</v>
          </cell>
          <cell r="B571" t="str">
            <v>ELENA ZWS 6510</v>
          </cell>
          <cell r="C571" t="str">
            <v>FLU</v>
          </cell>
          <cell r="D571" t="str">
            <v>FL</v>
          </cell>
          <cell r="E571">
            <v>40790</v>
          </cell>
        </row>
        <row r="572">
          <cell r="A572">
            <v>8903287025716</v>
          </cell>
          <cell r="B572" t="str">
            <v>ELENA ZSS 6510</v>
          </cell>
          <cell r="C572" t="str">
            <v>FLU</v>
          </cell>
          <cell r="D572" t="str">
            <v>FL</v>
          </cell>
          <cell r="E572">
            <v>42290</v>
          </cell>
        </row>
        <row r="573">
          <cell r="A573">
            <v>8903287025723</v>
          </cell>
          <cell r="B573" t="str">
            <v>ELENA SXS 6510</v>
          </cell>
          <cell r="C573" t="str">
            <v>FLU</v>
          </cell>
          <cell r="D573" t="str">
            <v>FL</v>
          </cell>
          <cell r="E573">
            <v>36290</v>
          </cell>
        </row>
        <row r="574">
          <cell r="A574">
            <v>8903287025730</v>
          </cell>
          <cell r="B574" t="str">
            <v>NEO DIVA VXS 6010</v>
          </cell>
          <cell r="C574" t="str">
            <v>FLU</v>
          </cell>
          <cell r="D574" t="str">
            <v>FL</v>
          </cell>
          <cell r="E574">
            <v>34390</v>
          </cell>
        </row>
        <row r="575">
          <cell r="A575">
            <v>8903287025747</v>
          </cell>
          <cell r="B575" t="str">
            <v>NEO DIVA SXS 6010</v>
          </cell>
          <cell r="C575" t="str">
            <v>FLU</v>
          </cell>
          <cell r="D575" t="str">
            <v>FL</v>
          </cell>
          <cell r="E575">
            <v>35890</v>
          </cell>
        </row>
        <row r="576">
          <cell r="A576">
            <v>8903287025754</v>
          </cell>
          <cell r="B576" t="str">
            <v>EVA PLUS ZWS 6010</v>
          </cell>
          <cell r="C576" t="str">
            <v>FLU</v>
          </cell>
          <cell r="D576" t="str">
            <v>FL</v>
          </cell>
          <cell r="E576">
            <v>32790</v>
          </cell>
        </row>
        <row r="577">
          <cell r="A577">
            <v>8903287025785</v>
          </cell>
          <cell r="B577" t="str">
            <v>DIVA PLUS VXS 6008</v>
          </cell>
          <cell r="C577" t="str">
            <v>FLU</v>
          </cell>
          <cell r="D577" t="str">
            <v>FL</v>
          </cell>
          <cell r="E577">
            <v>27890</v>
          </cell>
        </row>
        <row r="578">
          <cell r="A578">
            <v>8903287025792</v>
          </cell>
          <cell r="B578" t="str">
            <v>DIVA PLUS BXS 6008</v>
          </cell>
          <cell r="C578" t="str">
            <v>FLU</v>
          </cell>
          <cell r="D578" t="str">
            <v>FL</v>
          </cell>
          <cell r="E578">
            <v>28690</v>
          </cell>
        </row>
        <row r="579">
          <cell r="A579">
            <v>8903287025808</v>
          </cell>
          <cell r="B579" t="str">
            <v>DIVA AQUA VSS 6008</v>
          </cell>
          <cell r="C579" t="str">
            <v>FLU</v>
          </cell>
          <cell r="D579" t="str">
            <v>FL</v>
          </cell>
          <cell r="E579">
            <v>26390</v>
          </cell>
        </row>
        <row r="580">
          <cell r="A580">
            <v>8903287025815</v>
          </cell>
          <cell r="B580" t="str">
            <v>DIVA AQUA SXS 6008</v>
          </cell>
          <cell r="C580" t="str">
            <v>FLU</v>
          </cell>
          <cell r="D580" t="str">
            <v>FL</v>
          </cell>
          <cell r="E580">
            <v>28290</v>
          </cell>
        </row>
        <row r="581">
          <cell r="A581">
            <v>8903287025822</v>
          </cell>
          <cell r="B581" t="str">
            <v>DIVA AQUA BXS 6008</v>
          </cell>
          <cell r="C581" t="str">
            <v>FLU</v>
          </cell>
          <cell r="D581" t="str">
            <v>FL</v>
          </cell>
          <cell r="E581">
            <v>27090</v>
          </cell>
        </row>
        <row r="582">
          <cell r="A582">
            <v>8903287025914</v>
          </cell>
          <cell r="B582" t="str">
            <v>DIVA AQUA VGS 6010</v>
          </cell>
          <cell r="C582" t="str">
            <v>FLU</v>
          </cell>
          <cell r="D582" t="str">
            <v>FL</v>
          </cell>
          <cell r="E582">
            <v>26690</v>
          </cell>
        </row>
        <row r="583">
          <cell r="A583">
            <v>8903287025938</v>
          </cell>
          <cell r="B583" t="str">
            <v>DIVA AQUA SBS 6008</v>
          </cell>
          <cell r="C583" t="str">
            <v>FLU</v>
          </cell>
          <cell r="D583" t="str">
            <v>FL</v>
          </cell>
          <cell r="E583">
            <v>27690</v>
          </cell>
        </row>
        <row r="584">
          <cell r="A584">
            <v>8903287026003</v>
          </cell>
          <cell r="B584" t="str">
            <v>ELITE SXC 7012 - SL</v>
          </cell>
          <cell r="C584" t="str">
            <v>FLU</v>
          </cell>
          <cell r="D584" t="str">
            <v>FL</v>
          </cell>
          <cell r="E584">
            <v>41990</v>
          </cell>
        </row>
        <row r="585">
          <cell r="A585">
            <v>8903287026010</v>
          </cell>
          <cell r="B585" t="str">
            <v>ELITE ZLS 7012</v>
          </cell>
          <cell r="C585" t="str">
            <v>FLU</v>
          </cell>
          <cell r="D585" t="str">
            <v>FL</v>
          </cell>
          <cell r="E585">
            <v>46990</v>
          </cell>
        </row>
        <row r="586">
          <cell r="A586">
            <v>8903287026027</v>
          </cell>
          <cell r="B586" t="str">
            <v>ELITE ZRS 7012</v>
          </cell>
          <cell r="C586" t="str">
            <v>FLU</v>
          </cell>
          <cell r="D586" t="str">
            <v>FL</v>
          </cell>
          <cell r="E586">
            <v>46990</v>
          </cell>
        </row>
        <row r="587">
          <cell r="A587">
            <v>8903287026034</v>
          </cell>
          <cell r="B587" t="str">
            <v>EXECUTIVE PLUS MXS 9014</v>
          </cell>
          <cell r="C587" t="str">
            <v>FLU</v>
          </cell>
          <cell r="D587" t="str">
            <v>FL</v>
          </cell>
          <cell r="E587">
            <v>49990</v>
          </cell>
        </row>
        <row r="588">
          <cell r="A588">
            <v>8903287026058</v>
          </cell>
          <cell r="B588" t="str">
            <v>EXECUTIVE SXS 9014</v>
          </cell>
          <cell r="C588" t="str">
            <v>FLU</v>
          </cell>
          <cell r="D588" t="str">
            <v>FL</v>
          </cell>
          <cell r="E588">
            <v>47690</v>
          </cell>
        </row>
        <row r="589">
          <cell r="A589">
            <v>8903287026065</v>
          </cell>
          <cell r="B589" t="str">
            <v>ELITE ZSS 7012</v>
          </cell>
          <cell r="C589" t="str">
            <v>FLU</v>
          </cell>
          <cell r="D589" t="str">
            <v>FL</v>
          </cell>
          <cell r="E589">
            <v>45690</v>
          </cell>
        </row>
        <row r="590">
          <cell r="A590">
            <v>8903287026072</v>
          </cell>
          <cell r="B590" t="str">
            <v>ELENA PLUS SXS 6510</v>
          </cell>
          <cell r="C590" t="str">
            <v>FLU</v>
          </cell>
          <cell r="D590" t="str">
            <v>FL</v>
          </cell>
          <cell r="E590">
            <v>37990</v>
          </cell>
        </row>
        <row r="591">
          <cell r="A591">
            <v>8903287026089</v>
          </cell>
          <cell r="B591" t="str">
            <v>ELENA SBS 6510</v>
          </cell>
          <cell r="C591" t="str">
            <v>FLU</v>
          </cell>
          <cell r="D591" t="str">
            <v>FL</v>
          </cell>
          <cell r="E591">
            <v>37090</v>
          </cell>
        </row>
        <row r="592">
          <cell r="A592">
            <v>8903287026096</v>
          </cell>
          <cell r="B592" t="str">
            <v>EXECUTIVE MXC SL</v>
          </cell>
          <cell r="C592" t="str">
            <v>FLU</v>
          </cell>
          <cell r="D592" t="str">
            <v>FL</v>
          </cell>
          <cell r="E592">
            <v>52990</v>
          </cell>
        </row>
        <row r="593">
          <cell r="A593">
            <v>8903287026164</v>
          </cell>
          <cell r="B593" t="str">
            <v>SENATOR NEO VXS 8012</v>
          </cell>
          <cell r="C593" t="str">
            <v>FLU</v>
          </cell>
          <cell r="D593" t="str">
            <v>FL</v>
          </cell>
          <cell r="E593">
            <v>46490</v>
          </cell>
        </row>
        <row r="594">
          <cell r="A594">
            <v>8903287026171</v>
          </cell>
          <cell r="B594" t="str">
            <v>SENATOR NEO SXS 8012</v>
          </cell>
          <cell r="C594" t="str">
            <v>FLU</v>
          </cell>
          <cell r="D594" t="str">
            <v>FL</v>
          </cell>
          <cell r="E594">
            <v>47990</v>
          </cell>
        </row>
        <row r="595">
          <cell r="A595">
            <v>8903287026195</v>
          </cell>
          <cell r="B595" t="str">
            <v>SENATOR PLUS MXS 8KG</v>
          </cell>
          <cell r="C595" t="str">
            <v>FLU</v>
          </cell>
          <cell r="D595" t="str">
            <v>FL</v>
          </cell>
          <cell r="E595">
            <v>53990</v>
          </cell>
        </row>
        <row r="596">
          <cell r="A596">
            <v>8903287026232</v>
          </cell>
          <cell r="B596" t="str">
            <v>DIVA AQUA SXS 7010</v>
          </cell>
          <cell r="C596" t="str">
            <v>FLU</v>
          </cell>
          <cell r="D596" t="str">
            <v>FL</v>
          </cell>
          <cell r="E596">
            <v>39090</v>
          </cell>
        </row>
        <row r="597">
          <cell r="A597">
            <v>8903287026249</v>
          </cell>
          <cell r="B597" t="str">
            <v>DIVA AQUA VSS 7010</v>
          </cell>
          <cell r="C597" t="str">
            <v>FLU</v>
          </cell>
          <cell r="D597" t="str">
            <v>FL</v>
          </cell>
          <cell r="E597">
            <v>37990</v>
          </cell>
        </row>
        <row r="598">
          <cell r="A598">
            <v>8903287026256</v>
          </cell>
          <cell r="B598" t="str">
            <v>EXECUTIVE SMART TOUCH SXS 9014</v>
          </cell>
          <cell r="C598" t="str">
            <v>FLU</v>
          </cell>
          <cell r="D598" t="str">
            <v>FL</v>
          </cell>
          <cell r="E598">
            <v>51990</v>
          </cell>
        </row>
        <row r="599">
          <cell r="A599">
            <v>8903287026294</v>
          </cell>
          <cell r="B599" t="str">
            <v>EXECUTIVE PLUS MXC 1015</v>
          </cell>
          <cell r="C599" t="str">
            <v>FLU</v>
          </cell>
          <cell r="D599" t="str">
            <v>FL</v>
          </cell>
          <cell r="E599">
            <v>61990</v>
          </cell>
        </row>
        <row r="600">
          <cell r="A600">
            <v>8903287026324</v>
          </cell>
          <cell r="B600" t="str">
            <v>EXECUTIVE MSS ID 9014</v>
          </cell>
          <cell r="C600" t="str">
            <v>FLU</v>
          </cell>
          <cell r="D600" t="str">
            <v>FL</v>
          </cell>
          <cell r="E600">
            <v>54690</v>
          </cell>
        </row>
        <row r="601">
          <cell r="A601">
            <v>8903287026409</v>
          </cell>
          <cell r="B601" t="str">
            <v>SENATOR MXS 8014</v>
          </cell>
          <cell r="C601" t="str">
            <v>FLU</v>
          </cell>
          <cell r="D601" t="str">
            <v>FL</v>
          </cell>
          <cell r="E601">
            <v>52990</v>
          </cell>
        </row>
        <row r="602">
          <cell r="A602">
            <v>8903287026430</v>
          </cell>
          <cell r="B602" t="str">
            <v>EXECUTIVE MXS ID 1014</v>
          </cell>
          <cell r="C602" t="str">
            <v>FLU</v>
          </cell>
          <cell r="D602" t="str">
            <v>FL</v>
          </cell>
          <cell r="E602">
            <v>57990</v>
          </cell>
        </row>
        <row r="603">
          <cell r="A603">
            <v>8903287026478</v>
          </cell>
          <cell r="B603" t="str">
            <v>EXECUTIVE SXS ID 9014</v>
          </cell>
          <cell r="C603" t="str">
            <v>FLU</v>
          </cell>
          <cell r="D603" t="str">
            <v>FL</v>
          </cell>
          <cell r="E603">
            <v>54190</v>
          </cell>
        </row>
        <row r="604">
          <cell r="A604">
            <v>8903287026485</v>
          </cell>
          <cell r="B604" t="str">
            <v>DIVA AQUA SXS 6010</v>
          </cell>
          <cell r="C604" t="str">
            <v>FLU</v>
          </cell>
          <cell r="D604" t="str">
            <v>FL</v>
          </cell>
          <cell r="E604">
            <v>32890</v>
          </cell>
        </row>
        <row r="605">
          <cell r="A605">
            <v>8903287026492</v>
          </cell>
          <cell r="B605" t="str">
            <v>DIVA AQUA VSS 6010</v>
          </cell>
          <cell r="C605" t="str">
            <v>FLU</v>
          </cell>
          <cell r="D605" t="str">
            <v>FL</v>
          </cell>
          <cell r="E605">
            <v>30990</v>
          </cell>
        </row>
        <row r="606">
          <cell r="A606">
            <v>8903287026508</v>
          </cell>
          <cell r="B606" t="str">
            <v>DIVA AQUA BXS 6010</v>
          </cell>
          <cell r="C606" t="str">
            <v>FLU</v>
          </cell>
          <cell r="D606" t="str">
            <v>FL</v>
          </cell>
          <cell r="E606">
            <v>31690</v>
          </cell>
        </row>
        <row r="607">
          <cell r="A607">
            <v>8903287026515</v>
          </cell>
          <cell r="B607" t="str">
            <v>DIVA AQUA SBS 6010</v>
          </cell>
          <cell r="C607" t="str">
            <v>FLU</v>
          </cell>
          <cell r="D607" t="str">
            <v>FL</v>
          </cell>
          <cell r="E607">
            <v>32290</v>
          </cell>
        </row>
        <row r="608">
          <cell r="A608">
            <v>8903287026522</v>
          </cell>
          <cell r="B608" t="str">
            <v>EXECUTIVE PLUS MXC 1014</v>
          </cell>
          <cell r="C608" t="str">
            <v>FLU</v>
          </cell>
          <cell r="D608" t="str">
            <v>FL</v>
          </cell>
          <cell r="E608">
            <v>62990</v>
          </cell>
        </row>
        <row r="609">
          <cell r="A609">
            <v>8903287026577</v>
          </cell>
          <cell r="B609" t="str">
            <v>EXECUTIVE PLUS VSC 1014</v>
          </cell>
          <cell r="C609" t="str">
            <v>FLU</v>
          </cell>
          <cell r="D609" t="str">
            <v>FL</v>
          </cell>
          <cell r="E609">
            <v>63990</v>
          </cell>
        </row>
        <row r="610">
          <cell r="A610">
            <v>8903287026638</v>
          </cell>
          <cell r="B610" t="str">
            <v>EXECUTIVE MSC 9014</v>
          </cell>
          <cell r="C610" t="str">
            <v>FLU</v>
          </cell>
          <cell r="D610" t="str">
            <v>FL</v>
          </cell>
          <cell r="E610">
            <v>59990</v>
          </cell>
        </row>
        <row r="611">
          <cell r="A611">
            <v>8903287026645</v>
          </cell>
          <cell r="B611" t="str">
            <v>EXECUTIVE MXC 9014 - SL</v>
          </cell>
          <cell r="C611" t="str">
            <v>FLU</v>
          </cell>
          <cell r="D611" t="str">
            <v>FL</v>
          </cell>
          <cell r="E611">
            <v>60990</v>
          </cell>
        </row>
        <row r="612">
          <cell r="A612">
            <v>8903287026676</v>
          </cell>
          <cell r="B612" t="str">
            <v>DIVA AQUA MSS 7010</v>
          </cell>
          <cell r="C612" t="str">
            <v>FLU</v>
          </cell>
          <cell r="D612" t="str">
            <v>FL</v>
          </cell>
          <cell r="E612">
            <v>39590</v>
          </cell>
        </row>
        <row r="613">
          <cell r="A613">
            <v>8903287026683</v>
          </cell>
          <cell r="B613" t="str">
            <v>DIVA AQUA MXS 7010</v>
          </cell>
          <cell r="C613" t="str">
            <v>FLU</v>
          </cell>
          <cell r="D613" t="str">
            <v>FL</v>
          </cell>
          <cell r="E613">
            <v>40090</v>
          </cell>
        </row>
        <row r="614">
          <cell r="A614">
            <v>8903287026706</v>
          </cell>
          <cell r="B614" t="str">
            <v>SENATOR NEO MSS 8012</v>
          </cell>
          <cell r="C614" t="str">
            <v>FLU</v>
          </cell>
          <cell r="D614" t="str">
            <v>FL</v>
          </cell>
          <cell r="E614">
            <v>48490</v>
          </cell>
        </row>
        <row r="615">
          <cell r="A615">
            <v>8903287026713</v>
          </cell>
          <cell r="B615" t="str">
            <v>SENATOR NEO MXS 8012</v>
          </cell>
          <cell r="C615" t="str">
            <v>FLU</v>
          </cell>
          <cell r="D615" t="str">
            <v>FL</v>
          </cell>
          <cell r="E615">
            <v>48990</v>
          </cell>
        </row>
        <row r="616">
          <cell r="A616">
            <v>8903287026737</v>
          </cell>
          <cell r="B616" t="str">
            <v>DIVA AQUA GBS 6010</v>
          </cell>
          <cell r="C616" t="str">
            <v>FLU</v>
          </cell>
          <cell r="D616" t="str">
            <v>FL</v>
          </cell>
          <cell r="E616">
            <v>31990</v>
          </cell>
        </row>
        <row r="617">
          <cell r="A617">
            <v>8903287026829</v>
          </cell>
          <cell r="B617" t="str">
            <v>SERENA SXN 7012</v>
          </cell>
          <cell r="C617" t="str">
            <v>FLU</v>
          </cell>
          <cell r="D617" t="str">
            <v>FL</v>
          </cell>
          <cell r="E617">
            <v>41990</v>
          </cell>
        </row>
        <row r="618">
          <cell r="A618">
            <v>8903287026881</v>
          </cell>
          <cell r="B618" t="str">
            <v>SENATOR SXN 8014</v>
          </cell>
          <cell r="C618" t="str">
            <v>FLU</v>
          </cell>
          <cell r="D618" t="str">
            <v>FL</v>
          </cell>
          <cell r="E618">
            <v>45490</v>
          </cell>
        </row>
        <row r="619">
          <cell r="A619">
            <v>8903287030017</v>
          </cell>
          <cell r="B619" t="str">
            <v>SENATOR PLUS MSC</v>
          </cell>
          <cell r="C619" t="str">
            <v>FLU</v>
          </cell>
          <cell r="D619" t="str">
            <v>FL</v>
          </cell>
          <cell r="E619">
            <v>58290</v>
          </cell>
        </row>
        <row r="620">
          <cell r="A620">
            <v>8903287030192</v>
          </cell>
          <cell r="B620" t="str">
            <v>SENATOR ZMS 8012</v>
          </cell>
          <cell r="C620" t="str">
            <v>FLU</v>
          </cell>
          <cell r="D620" t="str">
            <v>FL</v>
          </cell>
          <cell r="E620">
            <v>47990</v>
          </cell>
        </row>
        <row r="621">
          <cell r="A621">
            <v>8903287030307</v>
          </cell>
          <cell r="B621" t="str">
            <v>EXECUTIVE MXN 9014K</v>
          </cell>
          <cell r="C621" t="str">
            <v>FLU</v>
          </cell>
          <cell r="D621" t="str">
            <v>FL</v>
          </cell>
          <cell r="E621">
            <v>50990</v>
          </cell>
        </row>
        <row r="622">
          <cell r="A622">
            <v>8903287030376</v>
          </cell>
          <cell r="B622" t="str">
            <v>EXECUTIVE PLUS BHG 1015</v>
          </cell>
          <cell r="C622" t="str">
            <v>FLU</v>
          </cell>
          <cell r="D622" t="str">
            <v>FL</v>
          </cell>
          <cell r="E622">
            <v>61590</v>
          </cell>
        </row>
        <row r="623">
          <cell r="A623">
            <v>8903287031137</v>
          </cell>
          <cell r="B623" t="str">
            <v>EXECUTIVE PLUS MXN 1014K</v>
          </cell>
          <cell r="C623" t="str">
            <v>FLU</v>
          </cell>
          <cell r="D623" t="str">
            <v>FL</v>
          </cell>
          <cell r="E623">
            <v>51090</v>
          </cell>
        </row>
        <row r="624">
          <cell r="A624">
            <v>8903287001376</v>
          </cell>
          <cell r="B624" t="str">
            <v>BUILT IN DISHWASHER D41</v>
          </cell>
          <cell r="C624" t="str">
            <v>KA</v>
          </cell>
          <cell r="D624" t="str">
            <v>KA</v>
          </cell>
          <cell r="E624">
            <v>34990</v>
          </cell>
        </row>
        <row r="625">
          <cell r="A625">
            <v>8903287001406</v>
          </cell>
          <cell r="B625" t="str">
            <v>BUILT IN DISHWASHER NEPTUNE</v>
          </cell>
          <cell r="C625" t="str">
            <v>KA</v>
          </cell>
          <cell r="D625" t="str">
            <v>KA</v>
          </cell>
          <cell r="E625">
            <v>51990</v>
          </cell>
        </row>
        <row r="626">
          <cell r="A626">
            <v>8903287002007</v>
          </cell>
          <cell r="B626" t="str">
            <v>COOKER HOOD OLIM 90 SS  1MOT. HC2</v>
          </cell>
          <cell r="C626" t="str">
            <v>KA</v>
          </cell>
          <cell r="D626" t="str">
            <v>KA</v>
          </cell>
          <cell r="E626">
            <v>19490</v>
          </cell>
        </row>
        <row r="627">
          <cell r="A627">
            <v>8903287002014</v>
          </cell>
          <cell r="B627" t="str">
            <v>COOKER HOOD N3 60 ST. STEEL 2 MOT</v>
          </cell>
          <cell r="C627" t="str">
            <v>KA</v>
          </cell>
          <cell r="D627" t="str">
            <v>KA</v>
          </cell>
          <cell r="E627">
            <v>11490</v>
          </cell>
        </row>
        <row r="628">
          <cell r="A628">
            <v>8903287002021</v>
          </cell>
          <cell r="B628" t="str">
            <v>COOKER HOOD N3 60 BLACK 2 MOT</v>
          </cell>
          <cell r="C628" t="str">
            <v>KA</v>
          </cell>
          <cell r="D628" t="str">
            <v>KA</v>
          </cell>
          <cell r="E628">
            <v>10490</v>
          </cell>
        </row>
        <row r="629">
          <cell r="A629">
            <v>8903287002038</v>
          </cell>
          <cell r="B629" t="str">
            <v>COOKER HOOD OLIM 60 SS  1MOT. HC2</v>
          </cell>
          <cell r="C629" t="str">
            <v>KA</v>
          </cell>
          <cell r="D629" t="str">
            <v>KA</v>
          </cell>
          <cell r="E629">
            <v>15490</v>
          </cell>
        </row>
        <row r="630">
          <cell r="A630">
            <v>8903287002045</v>
          </cell>
          <cell r="B630" t="str">
            <v>COOKER HOOD ARCO 60 S. S 1MOT. HC2</v>
          </cell>
          <cell r="C630" t="str">
            <v>KA</v>
          </cell>
          <cell r="D630" t="str">
            <v>KA</v>
          </cell>
          <cell r="E630">
            <v>15490</v>
          </cell>
        </row>
        <row r="631">
          <cell r="A631">
            <v>8903287002052</v>
          </cell>
          <cell r="B631" t="str">
            <v>COOKER HOOD D2 60 ST. STEEL 1 MOT. HC2</v>
          </cell>
          <cell r="C631" t="str">
            <v>KA</v>
          </cell>
          <cell r="D631" t="str">
            <v>KA</v>
          </cell>
          <cell r="E631">
            <v>14990</v>
          </cell>
        </row>
        <row r="632">
          <cell r="A632">
            <v>8903287002069</v>
          </cell>
          <cell r="B632" t="str">
            <v>COOKER HOOD MULT 60 S. S 1MOT. HC3</v>
          </cell>
          <cell r="C632" t="str">
            <v>KA</v>
          </cell>
          <cell r="D632" t="str">
            <v>KA</v>
          </cell>
          <cell r="E632">
            <v>28990</v>
          </cell>
        </row>
        <row r="633">
          <cell r="A633">
            <v>8903287002076</v>
          </cell>
          <cell r="B633" t="str">
            <v>COOKER HOOD MULT 90 S. S 1MOT. HC3</v>
          </cell>
          <cell r="C633" t="str">
            <v>KA</v>
          </cell>
          <cell r="D633" t="str">
            <v>KA</v>
          </cell>
          <cell r="E633">
            <v>35990</v>
          </cell>
        </row>
        <row r="634">
          <cell r="A634">
            <v>8903287002083</v>
          </cell>
          <cell r="B634" t="str">
            <v>RANGE HOODS DAMA - 90</v>
          </cell>
          <cell r="C634" t="str">
            <v>KA</v>
          </cell>
          <cell r="D634" t="str">
            <v>KA</v>
          </cell>
          <cell r="E634">
            <v>79990</v>
          </cell>
        </row>
        <row r="635">
          <cell r="A635">
            <v>8903287002090</v>
          </cell>
          <cell r="B635" t="str">
            <v>RANGE HOODS LUMINA - 90</v>
          </cell>
          <cell r="C635" t="str">
            <v>KA</v>
          </cell>
          <cell r="D635" t="str">
            <v>KA</v>
          </cell>
          <cell r="E635">
            <v>74990</v>
          </cell>
        </row>
        <row r="636">
          <cell r="A636">
            <v>8903287002106</v>
          </cell>
          <cell r="B636" t="str">
            <v>RANGE HOODS MYRA - 90</v>
          </cell>
          <cell r="C636" t="str">
            <v>KA</v>
          </cell>
          <cell r="D636" t="str">
            <v>KA</v>
          </cell>
          <cell r="E636">
            <v>64990</v>
          </cell>
        </row>
        <row r="637">
          <cell r="A637">
            <v>8903287002113</v>
          </cell>
          <cell r="B637" t="str">
            <v>RANGE HOODS ASTRA - 90</v>
          </cell>
          <cell r="C637" t="str">
            <v>KA</v>
          </cell>
          <cell r="D637" t="str">
            <v>KA</v>
          </cell>
          <cell r="E637">
            <v>59900</v>
          </cell>
        </row>
        <row r="638">
          <cell r="A638">
            <v>8903287002120</v>
          </cell>
          <cell r="B638" t="str">
            <v>RANGE HOODS NOIR - 90</v>
          </cell>
          <cell r="C638" t="str">
            <v>KA</v>
          </cell>
          <cell r="D638" t="str">
            <v>KA</v>
          </cell>
          <cell r="E638">
            <v>89990</v>
          </cell>
        </row>
        <row r="639">
          <cell r="A639">
            <v>8903287002137</v>
          </cell>
          <cell r="B639" t="str">
            <v>RANGE HOODS MIRO- 90</v>
          </cell>
          <cell r="C639" t="str">
            <v>KA</v>
          </cell>
          <cell r="D639" t="str">
            <v>KA</v>
          </cell>
          <cell r="E639">
            <v>85990</v>
          </cell>
        </row>
        <row r="640">
          <cell r="A640">
            <v>8903287002144</v>
          </cell>
          <cell r="B640" t="str">
            <v>RANGE HOODS ALEA - 90</v>
          </cell>
          <cell r="C640" t="str">
            <v>KA</v>
          </cell>
          <cell r="D640" t="str">
            <v>KA</v>
          </cell>
          <cell r="E640">
            <v>69990</v>
          </cell>
        </row>
        <row r="641">
          <cell r="A641">
            <v>8903287002168</v>
          </cell>
          <cell r="B641" t="str">
            <v>SAMPLE CHIMNEY</v>
          </cell>
          <cell r="C641" t="str">
            <v>KA</v>
          </cell>
          <cell r="D641" t="str">
            <v>KA</v>
          </cell>
          <cell r="E641">
            <v>7500</v>
          </cell>
        </row>
        <row r="642">
          <cell r="A642">
            <v>8903287002175</v>
          </cell>
          <cell r="B642" t="str">
            <v>COOKER HOOD OLIMPIA 60 PLUS</v>
          </cell>
          <cell r="C642" t="str">
            <v>KA</v>
          </cell>
          <cell r="D642" t="str">
            <v>KA</v>
          </cell>
          <cell r="E642">
            <v>16990</v>
          </cell>
        </row>
        <row r="643">
          <cell r="A643">
            <v>8903287002182</v>
          </cell>
          <cell r="B643" t="str">
            <v>COOKER HOOD OLIMPIA 90 SUPER</v>
          </cell>
          <cell r="C643" t="str">
            <v>KA</v>
          </cell>
          <cell r="D643" t="str">
            <v>KA</v>
          </cell>
          <cell r="E643">
            <v>21990</v>
          </cell>
        </row>
        <row r="644">
          <cell r="A644">
            <v>8903287002199</v>
          </cell>
          <cell r="B644" t="str">
            <v>COOKER HOOD OLIMPIA 60 SUPER</v>
          </cell>
          <cell r="C644" t="str">
            <v>KA</v>
          </cell>
          <cell r="D644" t="str">
            <v>KA</v>
          </cell>
          <cell r="E644">
            <v>18990</v>
          </cell>
        </row>
        <row r="645">
          <cell r="A645">
            <v>8903287002205</v>
          </cell>
          <cell r="B645" t="str">
            <v>COOKER HOOD CONDOR 90 GLASS 1 MOT. HC3</v>
          </cell>
          <cell r="C645" t="str">
            <v>KA</v>
          </cell>
          <cell r="D645" t="str">
            <v>KA</v>
          </cell>
          <cell r="E645">
            <v>18990</v>
          </cell>
        </row>
        <row r="646">
          <cell r="A646">
            <v>8903287002212</v>
          </cell>
          <cell r="B646" t="str">
            <v>COOKER HOOD D2 60 SUPER</v>
          </cell>
          <cell r="C646" t="str">
            <v>KA</v>
          </cell>
          <cell r="D646" t="str">
            <v>KA</v>
          </cell>
          <cell r="E646">
            <v>17990</v>
          </cell>
        </row>
        <row r="647">
          <cell r="A647">
            <v>8903287002229</v>
          </cell>
          <cell r="B647" t="str">
            <v>COOKER HOOD D2 90 SUPER</v>
          </cell>
          <cell r="C647" t="str">
            <v>KA</v>
          </cell>
          <cell r="D647" t="str">
            <v>KA</v>
          </cell>
          <cell r="E647">
            <v>20990</v>
          </cell>
        </row>
        <row r="648">
          <cell r="A648">
            <v>8903287002236</v>
          </cell>
          <cell r="B648" t="str">
            <v>COOKER HOOD MULTIPLA 90 PL-1S</v>
          </cell>
          <cell r="C648" t="str">
            <v>KA</v>
          </cell>
          <cell r="D648" t="str">
            <v>KA</v>
          </cell>
          <cell r="E648">
            <v>57990</v>
          </cell>
        </row>
        <row r="649">
          <cell r="A649">
            <v>8903287002243</v>
          </cell>
          <cell r="B649" t="str">
            <v>COOKER HOOD CI-PL CONTROLS 60 SS 1MOTHC3</v>
          </cell>
          <cell r="C649" t="str">
            <v>KA</v>
          </cell>
          <cell r="D649" t="str">
            <v>KA</v>
          </cell>
          <cell r="E649">
            <v>22990</v>
          </cell>
        </row>
        <row r="650">
          <cell r="A650">
            <v>8903287002250</v>
          </cell>
          <cell r="B650" t="str">
            <v>COOKER HOOD CI-PL CONTROLS 90 SS 1MOTHC3</v>
          </cell>
          <cell r="C650" t="str">
            <v>KA</v>
          </cell>
          <cell r="D650" t="str">
            <v>KA</v>
          </cell>
          <cell r="E650">
            <v>25990</v>
          </cell>
        </row>
        <row r="651">
          <cell r="A651">
            <v>8903287002267</v>
          </cell>
          <cell r="B651" t="str">
            <v>COOKER HOOD IFB-GL-10PL-60 CM</v>
          </cell>
          <cell r="C651" t="str">
            <v>KA</v>
          </cell>
          <cell r="D651" t="str">
            <v>KA</v>
          </cell>
          <cell r="E651">
            <v>21990</v>
          </cell>
        </row>
        <row r="652">
          <cell r="A652">
            <v>8903287002274</v>
          </cell>
          <cell r="B652" t="str">
            <v>COOKER HOOD IFB-GL-14T-60 CM</v>
          </cell>
          <cell r="C652" t="str">
            <v>KA</v>
          </cell>
          <cell r="D652" t="str">
            <v>KA</v>
          </cell>
          <cell r="E652">
            <v>27990</v>
          </cell>
        </row>
        <row r="653">
          <cell r="A653">
            <v>8903287002281</v>
          </cell>
          <cell r="B653" t="str">
            <v>COOKER HOOD IFB-SS-63P-60 CM</v>
          </cell>
          <cell r="C653" t="str">
            <v>KA</v>
          </cell>
          <cell r="D653" t="str">
            <v>KA</v>
          </cell>
          <cell r="E653">
            <v>19490</v>
          </cell>
        </row>
        <row r="654">
          <cell r="A654">
            <v>8903287002298</v>
          </cell>
          <cell r="B654" t="str">
            <v>COOKER HOOD IFB-GL-6P-60 CM</v>
          </cell>
          <cell r="C654" t="str">
            <v>KA</v>
          </cell>
          <cell r="D654" t="str">
            <v>KA</v>
          </cell>
          <cell r="E654">
            <v>20990</v>
          </cell>
        </row>
        <row r="655">
          <cell r="A655">
            <v>8903287002304</v>
          </cell>
          <cell r="B655" t="str">
            <v>COOKER HOOD IFB-GN-5P-60 CM</v>
          </cell>
          <cell r="C655" t="str">
            <v>KA</v>
          </cell>
          <cell r="D655" t="str">
            <v>KA</v>
          </cell>
          <cell r="E655">
            <v>12490</v>
          </cell>
        </row>
        <row r="656">
          <cell r="A656">
            <v>8903287002311</v>
          </cell>
          <cell r="B656" t="str">
            <v>COOKER HOOD IFB-GL-10PL-90 CM</v>
          </cell>
          <cell r="C656" t="str">
            <v>KA</v>
          </cell>
          <cell r="D656" t="str">
            <v>KA</v>
          </cell>
          <cell r="E656">
            <v>23990</v>
          </cell>
        </row>
        <row r="657">
          <cell r="A657">
            <v>8903287002328</v>
          </cell>
          <cell r="B657" t="str">
            <v>COOKER HOOD IFB-GL-14T-90 CM</v>
          </cell>
          <cell r="C657" t="str">
            <v>KA</v>
          </cell>
          <cell r="D657" t="str">
            <v>KA</v>
          </cell>
          <cell r="E657">
            <v>29990</v>
          </cell>
        </row>
        <row r="658">
          <cell r="A658">
            <v>8903287002335</v>
          </cell>
          <cell r="B658" t="str">
            <v>COOKER HOOD IFB-SS-63P-90 CM</v>
          </cell>
          <cell r="C658" t="str">
            <v>KA</v>
          </cell>
          <cell r="D658" t="str">
            <v>KA</v>
          </cell>
          <cell r="E658">
            <v>18990</v>
          </cell>
        </row>
        <row r="659">
          <cell r="A659">
            <v>8903287002342</v>
          </cell>
          <cell r="B659" t="str">
            <v>COOKER HOOD IFB-GL-6P-90 CM</v>
          </cell>
          <cell r="C659" t="str">
            <v>KA</v>
          </cell>
          <cell r="D659" t="str">
            <v>KA</v>
          </cell>
          <cell r="E659">
            <v>22990</v>
          </cell>
        </row>
        <row r="660">
          <cell r="A660">
            <v>8903287002359</v>
          </cell>
          <cell r="B660" t="str">
            <v>COOKER HOOD IFB-GL-90 ISLAND-90 CM</v>
          </cell>
          <cell r="C660" t="str">
            <v>KA</v>
          </cell>
          <cell r="D660" t="str">
            <v>KA</v>
          </cell>
          <cell r="E660">
            <v>43990</v>
          </cell>
        </row>
        <row r="661">
          <cell r="A661">
            <v>8903287002380</v>
          </cell>
          <cell r="B661" t="str">
            <v>COOKER HOOD IFB-GL- 932   -60CM</v>
          </cell>
          <cell r="C661" t="str">
            <v>KA</v>
          </cell>
          <cell r="D661" t="str">
            <v>KA</v>
          </cell>
          <cell r="E661">
            <v>51990</v>
          </cell>
        </row>
        <row r="662">
          <cell r="A662">
            <v>8903287002397</v>
          </cell>
          <cell r="B662" t="str">
            <v>COOKER HOOD IFB-GL-932 -90CM</v>
          </cell>
          <cell r="C662" t="str">
            <v>KA</v>
          </cell>
          <cell r="D662" t="str">
            <v>KA</v>
          </cell>
          <cell r="E662">
            <v>54990</v>
          </cell>
        </row>
        <row r="663">
          <cell r="A663">
            <v>8903287002403</v>
          </cell>
          <cell r="B663" t="str">
            <v>COOKER HOOD IFB-GS  60T -PL</v>
          </cell>
          <cell r="C663" t="str">
            <v>KA</v>
          </cell>
          <cell r="D663" t="str">
            <v>KA</v>
          </cell>
          <cell r="E663">
            <v>28990</v>
          </cell>
        </row>
        <row r="664">
          <cell r="A664">
            <v>8903287002410</v>
          </cell>
          <cell r="B664" t="str">
            <v>COOKER HOOD IFB-GS- 90T -PL</v>
          </cell>
          <cell r="C664" t="str">
            <v>KA</v>
          </cell>
          <cell r="D664" t="str">
            <v>KA</v>
          </cell>
          <cell r="E664">
            <v>28990</v>
          </cell>
        </row>
        <row r="665">
          <cell r="A665">
            <v>8903287002939</v>
          </cell>
          <cell r="B665" t="str">
            <v>NEPTUNE BI2 ( BUILT IN )</v>
          </cell>
          <cell r="C665" t="str">
            <v>KA</v>
          </cell>
          <cell r="D665" t="str">
            <v>KA</v>
          </cell>
          <cell r="E665">
            <v>52990</v>
          </cell>
        </row>
        <row r="666">
          <cell r="A666">
            <v>8903287003004</v>
          </cell>
          <cell r="B666" t="str">
            <v>FORNO PARI SC N STATIC4NEW OUT 07</v>
          </cell>
          <cell r="C666" t="str">
            <v>KA</v>
          </cell>
          <cell r="D666" t="str">
            <v>KA</v>
          </cell>
          <cell r="E666">
            <v>25990</v>
          </cell>
        </row>
        <row r="667">
          <cell r="A667">
            <v>8903287003011</v>
          </cell>
          <cell r="B667" t="str">
            <v>BUILT IN OVEN IB 243 XA/E</v>
          </cell>
          <cell r="C667" t="str">
            <v>KA</v>
          </cell>
          <cell r="D667" t="str">
            <v>KA</v>
          </cell>
          <cell r="E667">
            <v>35990</v>
          </cell>
        </row>
        <row r="668">
          <cell r="A668">
            <v>8903287003028</v>
          </cell>
          <cell r="B668" t="str">
            <v>BUILT IN OVEN IB 243 CA/E</v>
          </cell>
          <cell r="C668" t="str">
            <v>KA</v>
          </cell>
          <cell r="D668" t="str">
            <v>KA</v>
          </cell>
          <cell r="E668">
            <v>41990</v>
          </cell>
        </row>
        <row r="669">
          <cell r="A669">
            <v>8903287003035</v>
          </cell>
          <cell r="B669" t="str">
            <v>BUILT IN OVEN IB 243 ZB/E</v>
          </cell>
          <cell r="C669" t="str">
            <v>KA</v>
          </cell>
          <cell r="D669" t="str">
            <v>KA</v>
          </cell>
          <cell r="E669">
            <v>25990</v>
          </cell>
        </row>
        <row r="670">
          <cell r="A670">
            <v>8903287003042</v>
          </cell>
          <cell r="B670" t="str">
            <v>BUILT IN OVEN IB 243 EA/E</v>
          </cell>
          <cell r="C670" t="str">
            <v>KA</v>
          </cell>
          <cell r="D670" t="str">
            <v>KA</v>
          </cell>
          <cell r="E670">
            <v>40990</v>
          </cell>
        </row>
        <row r="671">
          <cell r="A671">
            <v>8903287003059</v>
          </cell>
          <cell r="B671" t="str">
            <v>BUILT IN MICROWAVE OVEN 25BIG1</v>
          </cell>
          <cell r="C671" t="str">
            <v>KA</v>
          </cell>
          <cell r="D671" t="str">
            <v>KA</v>
          </cell>
          <cell r="E671">
            <v>25990</v>
          </cell>
        </row>
        <row r="672">
          <cell r="A672">
            <v>8903287003066</v>
          </cell>
          <cell r="B672" t="str">
            <v>BUILT IN MICROWAVE OVEN 34BIC1</v>
          </cell>
          <cell r="C672" t="str">
            <v>KA</v>
          </cell>
          <cell r="D672" t="str">
            <v>KA</v>
          </cell>
          <cell r="E672">
            <v>42990</v>
          </cell>
        </row>
        <row r="673">
          <cell r="A673">
            <v>8903287003073</v>
          </cell>
          <cell r="B673" t="str">
            <v>BUILT IN OVEN 656 MTC/E-RCT</v>
          </cell>
          <cell r="C673" t="str">
            <v>KA</v>
          </cell>
          <cell r="D673" t="str">
            <v>KA</v>
          </cell>
          <cell r="E673">
            <v>53990</v>
          </cell>
        </row>
        <row r="674">
          <cell r="A674">
            <v>8903287003080</v>
          </cell>
          <cell r="B674" t="str">
            <v>BUILT IN OVEN 656 ETC/E-RCT</v>
          </cell>
          <cell r="C674" t="str">
            <v>KA</v>
          </cell>
          <cell r="D674" t="str">
            <v>KA</v>
          </cell>
          <cell r="E674">
            <v>52490</v>
          </cell>
        </row>
        <row r="675">
          <cell r="A675">
            <v>8903287003097</v>
          </cell>
          <cell r="B675" t="str">
            <v>BUILT IN OVEN 656 FTC/E-RCT</v>
          </cell>
          <cell r="C675" t="str">
            <v>KA</v>
          </cell>
          <cell r="D675" t="str">
            <v>KA</v>
          </cell>
          <cell r="E675">
            <v>55990</v>
          </cell>
        </row>
        <row r="676">
          <cell r="A676">
            <v>8903287004001</v>
          </cell>
          <cell r="B676" t="str">
            <v>BUILT IN HOOD PIANO 60 ENAMEL GRID</v>
          </cell>
          <cell r="C676" t="str">
            <v>KA</v>
          </cell>
          <cell r="D676" t="str">
            <v>KA</v>
          </cell>
          <cell r="E676">
            <v>12990</v>
          </cell>
        </row>
        <row r="677">
          <cell r="A677">
            <v>8903287004018</v>
          </cell>
          <cell r="B677" t="str">
            <v>BUILT IN HOOD PIANO 90 ENAMEL GRID</v>
          </cell>
          <cell r="C677" t="str">
            <v>KA</v>
          </cell>
          <cell r="D677" t="str">
            <v>KA</v>
          </cell>
          <cell r="E677">
            <v>22990</v>
          </cell>
        </row>
        <row r="678">
          <cell r="A678">
            <v>8903287004025</v>
          </cell>
          <cell r="B678" t="str">
            <v>BUILT IN HOOD PIANO 70 ENAMEL GRID</v>
          </cell>
          <cell r="C678" t="str">
            <v>KA</v>
          </cell>
          <cell r="D678" t="str">
            <v>KA</v>
          </cell>
          <cell r="E678">
            <v>20990</v>
          </cell>
        </row>
        <row r="679">
          <cell r="A679">
            <v>8903287004032</v>
          </cell>
          <cell r="B679" t="str">
            <v>BUILT IN HOB PIANO 60 4TRC</v>
          </cell>
          <cell r="C679" t="str">
            <v>KA</v>
          </cell>
          <cell r="D679" t="str">
            <v>KA</v>
          </cell>
          <cell r="E679">
            <v>14990</v>
          </cell>
        </row>
        <row r="680">
          <cell r="A680">
            <v>8903287004049</v>
          </cell>
          <cell r="B680" t="str">
            <v>BUILT IN HOB PIANO 70 5TRC</v>
          </cell>
          <cell r="C680" t="str">
            <v>KA</v>
          </cell>
          <cell r="D680" t="str">
            <v>KA</v>
          </cell>
          <cell r="E680">
            <v>21990</v>
          </cell>
        </row>
        <row r="681">
          <cell r="A681">
            <v>8903287004056</v>
          </cell>
          <cell r="B681" t="str">
            <v>BUILT IN HOB PIANO 90 5TR</v>
          </cell>
          <cell r="C681" t="str">
            <v>KA</v>
          </cell>
          <cell r="D681" t="str">
            <v>KA</v>
          </cell>
          <cell r="E681">
            <v>23990</v>
          </cell>
        </row>
        <row r="682">
          <cell r="A682">
            <v>8903287004087</v>
          </cell>
          <cell r="B682" t="str">
            <v>BUILT IN HOB PIANO 75 5TRC</v>
          </cell>
          <cell r="C682" t="str">
            <v>KA</v>
          </cell>
          <cell r="D682" t="str">
            <v>KA</v>
          </cell>
          <cell r="E682">
            <v>20990</v>
          </cell>
        </row>
        <row r="683">
          <cell r="A683">
            <v>8903287004092</v>
          </cell>
          <cell r="B683" t="str">
            <v>BUILT IN HOB PIANO 421E-TR-S</v>
          </cell>
          <cell r="C683" t="str">
            <v>KA</v>
          </cell>
          <cell r="D683" t="str">
            <v>KA</v>
          </cell>
          <cell r="E683">
            <v>11490</v>
          </cell>
        </row>
        <row r="684">
          <cell r="A684">
            <v>8903287004100</v>
          </cell>
          <cell r="B684" t="str">
            <v>BUILT IN HOB PIANO 310C-TR-S</v>
          </cell>
          <cell r="C684" t="str">
            <v>KA</v>
          </cell>
          <cell r="D684" t="str">
            <v>KA</v>
          </cell>
          <cell r="E684">
            <v>13990</v>
          </cell>
        </row>
        <row r="685">
          <cell r="A685">
            <v>8903287004117</v>
          </cell>
          <cell r="B685" t="str">
            <v>BUILT IN HOB PIANO 311E-TR-L</v>
          </cell>
          <cell r="C685" t="str">
            <v>KA</v>
          </cell>
          <cell r="D685" t="str">
            <v>KA</v>
          </cell>
          <cell r="E685">
            <v>13490</v>
          </cell>
        </row>
        <row r="686">
          <cell r="A686">
            <v>8903287004131</v>
          </cell>
          <cell r="B686" t="str">
            <v>BUILT IN HOB PIANO 532S-MLR-CG</v>
          </cell>
          <cell r="C686" t="str">
            <v>KA</v>
          </cell>
          <cell r="D686" t="str">
            <v>KA</v>
          </cell>
          <cell r="E686">
            <v>14990</v>
          </cell>
        </row>
        <row r="687">
          <cell r="A687">
            <v>8903287004148</v>
          </cell>
          <cell r="B687" t="str">
            <v>BUILT IN HOB PIANO 422E-TR-SWW</v>
          </cell>
          <cell r="C687" t="str">
            <v>KA</v>
          </cell>
          <cell r="D687" t="str">
            <v>KA</v>
          </cell>
          <cell r="E687">
            <v>10490</v>
          </cell>
        </row>
        <row r="688">
          <cell r="A688">
            <v>8903287004155</v>
          </cell>
          <cell r="B688" t="str">
            <v>BUILT IN HOB PIANO 479E-LR-L</v>
          </cell>
          <cell r="C688" t="str">
            <v>KA</v>
          </cell>
          <cell r="D688" t="str">
            <v>KA</v>
          </cell>
          <cell r="E688">
            <v>21990</v>
          </cell>
        </row>
        <row r="689">
          <cell r="A689">
            <v>8903287004162</v>
          </cell>
          <cell r="B689" t="str">
            <v>BUILT IN HOB PIANO 429S-TR-BG</v>
          </cell>
          <cell r="C689" t="str">
            <v>KA</v>
          </cell>
          <cell r="D689" t="str">
            <v>KA</v>
          </cell>
          <cell r="E689">
            <v>13990</v>
          </cell>
        </row>
        <row r="690">
          <cell r="A690">
            <v>8903287004179</v>
          </cell>
          <cell r="B690" t="str">
            <v>BUILT IN HOB PIANO 430S-TR-CG</v>
          </cell>
          <cell r="C690" t="str">
            <v>KA</v>
          </cell>
          <cell r="D690" t="str">
            <v>KA</v>
          </cell>
          <cell r="E690">
            <v>14490</v>
          </cell>
        </row>
        <row r="691">
          <cell r="A691">
            <v>8903287004186</v>
          </cell>
          <cell r="B691" t="str">
            <v>BUILT IN HOB PIANO 442S-LR-BG</v>
          </cell>
          <cell r="C691" t="str">
            <v>KA</v>
          </cell>
          <cell r="D691" t="str">
            <v>KA</v>
          </cell>
          <cell r="E691">
            <v>14490</v>
          </cell>
        </row>
        <row r="692">
          <cell r="A692">
            <v>8903287004193</v>
          </cell>
          <cell r="B692" t="str">
            <v>BUILT IN HOB PIANO 448S-MLR-BG</v>
          </cell>
          <cell r="C692" t="str">
            <v>KA</v>
          </cell>
          <cell r="D692" t="str">
            <v>KA</v>
          </cell>
          <cell r="E692">
            <v>18990</v>
          </cell>
        </row>
        <row r="693">
          <cell r="A693">
            <v>8903287004209</v>
          </cell>
          <cell r="B693" t="str">
            <v>BUILT IN HOB PIANO 476S-MLR-BG</v>
          </cell>
          <cell r="C693" t="str">
            <v>KA</v>
          </cell>
          <cell r="D693" t="str">
            <v>KA</v>
          </cell>
          <cell r="E693">
            <v>20490</v>
          </cell>
        </row>
        <row r="694">
          <cell r="A694">
            <v>8903287004216</v>
          </cell>
          <cell r="B694" t="str">
            <v>BUILT IN HOB PIANO 478C-LR-L</v>
          </cell>
          <cell r="C694" t="str">
            <v>KA</v>
          </cell>
          <cell r="D694" t="str">
            <v>KA</v>
          </cell>
          <cell r="E694">
            <v>23990</v>
          </cell>
        </row>
        <row r="695">
          <cell r="A695">
            <v>8903287004223</v>
          </cell>
          <cell r="B695" t="str">
            <v>BUILT IN HOB - 410C-MC-S</v>
          </cell>
          <cell r="C695" t="str">
            <v>KA</v>
          </cell>
          <cell r="D695" t="str">
            <v>KA</v>
          </cell>
          <cell r="E695">
            <v>14990</v>
          </cell>
        </row>
        <row r="696">
          <cell r="A696">
            <v>8903287004230</v>
          </cell>
          <cell r="B696" t="str">
            <v>BUILT IN HOB - 878C -LC-L</v>
          </cell>
          <cell r="C696" t="str">
            <v>KA</v>
          </cell>
          <cell r="D696" t="str">
            <v>KA</v>
          </cell>
          <cell r="E696">
            <v>24990</v>
          </cell>
        </row>
        <row r="697">
          <cell r="A697">
            <v>8903287004247</v>
          </cell>
          <cell r="B697" t="str">
            <v>BUILT IN HOB - 424E-MC-S</v>
          </cell>
          <cell r="C697" t="str">
            <v>KA</v>
          </cell>
          <cell r="D697" t="str">
            <v>KA</v>
          </cell>
          <cell r="E697">
            <v>12490</v>
          </cell>
        </row>
        <row r="698">
          <cell r="A698">
            <v>8903287004261</v>
          </cell>
          <cell r="B698" t="str">
            <v>BUILT IN HOB - 432S-MC- BG</v>
          </cell>
          <cell r="C698" t="str">
            <v>KA</v>
          </cell>
          <cell r="D698" t="str">
            <v>KA</v>
          </cell>
          <cell r="E698">
            <v>14990</v>
          </cell>
        </row>
        <row r="699">
          <cell r="A699">
            <v>8903287004278</v>
          </cell>
          <cell r="B699" t="str">
            <v>BUILT IN HOB - 446S-LC -BG</v>
          </cell>
          <cell r="C699" t="str">
            <v>KA</v>
          </cell>
          <cell r="D699" t="str">
            <v>KA</v>
          </cell>
          <cell r="E699">
            <v>15490</v>
          </cell>
        </row>
        <row r="700">
          <cell r="A700">
            <v>8903287004285</v>
          </cell>
          <cell r="B700" t="str">
            <v>BUILT IN HOB - 876S -MLC- BG</v>
          </cell>
          <cell r="C700" t="str">
            <v>KA</v>
          </cell>
          <cell r="D700" t="str">
            <v>KA</v>
          </cell>
          <cell r="E700">
            <v>21990</v>
          </cell>
        </row>
        <row r="701">
          <cell r="A701">
            <v>8903287004292</v>
          </cell>
          <cell r="B701" t="str">
            <v>BUILT IN HOB - 435S -MC-CG</v>
          </cell>
          <cell r="C701" t="str">
            <v>KA</v>
          </cell>
          <cell r="D701" t="str">
            <v>KA</v>
          </cell>
          <cell r="E701">
            <v>15490</v>
          </cell>
        </row>
        <row r="702">
          <cell r="A702">
            <v>8903287004308</v>
          </cell>
          <cell r="B702" t="str">
            <v>BUILT IN HOB - 342S- MLC- CG</v>
          </cell>
          <cell r="C702" t="str">
            <v>KA</v>
          </cell>
          <cell r="D702" t="str">
            <v>KA</v>
          </cell>
          <cell r="E702">
            <v>15990</v>
          </cell>
        </row>
        <row r="703">
          <cell r="A703">
            <v>8903287004339</v>
          </cell>
          <cell r="B703" t="str">
            <v>BUILT IN HOB-891C-TR-BG</v>
          </cell>
          <cell r="C703" t="str">
            <v>KA</v>
          </cell>
          <cell r="D703" t="str">
            <v>KA</v>
          </cell>
          <cell r="E703">
            <v>25990</v>
          </cell>
        </row>
        <row r="704">
          <cell r="A704">
            <v>8903287004346</v>
          </cell>
          <cell r="B704" t="str">
            <v>BUILT IN HOB-436C-TR-BG</v>
          </cell>
          <cell r="C704" t="str">
            <v>KA</v>
          </cell>
          <cell r="D704" t="str">
            <v>KA</v>
          </cell>
          <cell r="E704">
            <v>16990</v>
          </cell>
        </row>
        <row r="705">
          <cell r="A705">
            <v>8903287004377</v>
          </cell>
          <cell r="B705" t="str">
            <v>BUILT IN HOB-703C-TR-BG</v>
          </cell>
          <cell r="C705" t="str">
            <v>KA</v>
          </cell>
          <cell r="D705" t="str">
            <v>KA</v>
          </cell>
          <cell r="E705">
            <v>18490</v>
          </cell>
        </row>
        <row r="706">
          <cell r="A706">
            <v>8903287004384</v>
          </cell>
          <cell r="B706" t="str">
            <v>BUILT IN HOB-449C-TR-BG</v>
          </cell>
          <cell r="C706" t="str">
            <v>KA</v>
          </cell>
          <cell r="D706" t="str">
            <v>KA</v>
          </cell>
          <cell r="E706">
            <v>15990</v>
          </cell>
        </row>
        <row r="707">
          <cell r="A707">
            <v>8903287004414</v>
          </cell>
          <cell r="B707" t="str">
            <v>BUILT IN HOB-426E-TR-S</v>
          </cell>
          <cell r="C707" t="str">
            <v>KA</v>
          </cell>
          <cell r="D707" t="str">
            <v>KA</v>
          </cell>
          <cell r="E707">
            <v>12990</v>
          </cell>
        </row>
        <row r="708">
          <cell r="A708">
            <v>8903287004421</v>
          </cell>
          <cell r="B708" t="str">
            <v>BUILT IN HOB-861C-TR-S</v>
          </cell>
          <cell r="C708" t="str">
            <v>KA</v>
          </cell>
          <cell r="D708" t="str">
            <v>KA</v>
          </cell>
          <cell r="E708">
            <v>25490</v>
          </cell>
        </row>
        <row r="709">
          <cell r="A709">
            <v>8903287004438</v>
          </cell>
          <cell r="B709" t="str">
            <v>BUILT IN HOB-756C-TR-S</v>
          </cell>
          <cell r="C709" t="str">
            <v>KA</v>
          </cell>
          <cell r="D709" t="str">
            <v>KA</v>
          </cell>
          <cell r="E709">
            <v>18490</v>
          </cell>
        </row>
        <row r="710">
          <cell r="A710">
            <v>8903287004445</v>
          </cell>
          <cell r="B710" t="str">
            <v>BUILT IN HOB-414C-TR-S</v>
          </cell>
          <cell r="C710" t="str">
            <v>KA</v>
          </cell>
          <cell r="D710" t="str">
            <v>KA</v>
          </cell>
          <cell r="E710">
            <v>15990</v>
          </cell>
        </row>
        <row r="711">
          <cell r="A711">
            <v>8903287004483</v>
          </cell>
          <cell r="B711" t="str">
            <v>BUILT IN HOB-614E-TR-BG</v>
          </cell>
          <cell r="C711" t="str">
            <v>KA</v>
          </cell>
          <cell r="D711" t="str">
            <v>KA</v>
          </cell>
          <cell r="E711">
            <v>14990</v>
          </cell>
        </row>
        <row r="712">
          <cell r="A712">
            <v>8903287004506</v>
          </cell>
          <cell r="B712" t="str">
            <v>BUILT IN HOB-613E-TR-BG</v>
          </cell>
          <cell r="C712" t="str">
            <v>KA</v>
          </cell>
          <cell r="D712" t="str">
            <v>KA</v>
          </cell>
          <cell r="E712">
            <v>14490</v>
          </cell>
        </row>
        <row r="713">
          <cell r="A713">
            <v>8903287004513</v>
          </cell>
          <cell r="B713" t="str">
            <v>BUILT IN HOB-623C-TR-S</v>
          </cell>
          <cell r="C713" t="str">
            <v>KA</v>
          </cell>
          <cell r="D713" t="str">
            <v>KA</v>
          </cell>
          <cell r="E713">
            <v>15490</v>
          </cell>
        </row>
        <row r="714">
          <cell r="A714">
            <v>8903287004537</v>
          </cell>
          <cell r="B714" t="str">
            <v>BUILT IN HOB-805C-TR-BG</v>
          </cell>
          <cell r="C714" t="str">
            <v>KA</v>
          </cell>
          <cell r="D714" t="str">
            <v>KA</v>
          </cell>
          <cell r="E714">
            <v>21990</v>
          </cell>
        </row>
        <row r="715">
          <cell r="A715">
            <v>8903287004551</v>
          </cell>
          <cell r="B715" t="str">
            <v>COOKER HOOD N-5P-BK-60 CM</v>
          </cell>
          <cell r="C715" t="str">
            <v>KA</v>
          </cell>
          <cell r="D715" t="str">
            <v>KA</v>
          </cell>
          <cell r="E715">
            <v>10490</v>
          </cell>
        </row>
        <row r="716">
          <cell r="A716">
            <v>8903287004568</v>
          </cell>
          <cell r="B716" t="str">
            <v>COOKER HOOD N-5P-SS -60 CM</v>
          </cell>
          <cell r="C716" t="str">
            <v>KA</v>
          </cell>
          <cell r="D716" t="str">
            <v>KA</v>
          </cell>
          <cell r="E716">
            <v>11490</v>
          </cell>
        </row>
        <row r="717">
          <cell r="A717">
            <v>8903287004575</v>
          </cell>
          <cell r="B717" t="str">
            <v>COOKER HOOD OLIM-60 CM</v>
          </cell>
          <cell r="C717" t="str">
            <v>KA</v>
          </cell>
          <cell r="D717" t="str">
            <v>KA</v>
          </cell>
          <cell r="E717">
            <v>15490</v>
          </cell>
        </row>
        <row r="718">
          <cell r="A718">
            <v>8903287004582</v>
          </cell>
          <cell r="B718" t="str">
            <v>COOKER HOOD OLIM PLUS-60 CM</v>
          </cell>
          <cell r="C718" t="str">
            <v>KA</v>
          </cell>
          <cell r="D718" t="str">
            <v>KA</v>
          </cell>
          <cell r="E718">
            <v>16990</v>
          </cell>
        </row>
        <row r="719">
          <cell r="A719">
            <v>8903287004599</v>
          </cell>
          <cell r="B719" t="str">
            <v>COOKER HOOD OLIM SUPER-60 CM</v>
          </cell>
          <cell r="C719" t="str">
            <v>KA</v>
          </cell>
          <cell r="D719" t="str">
            <v>KA</v>
          </cell>
          <cell r="E719">
            <v>19290</v>
          </cell>
        </row>
        <row r="720">
          <cell r="A720">
            <v>8903287004605</v>
          </cell>
          <cell r="B720" t="str">
            <v>COOKER HOOD OLIM SUPER-90 CM</v>
          </cell>
          <cell r="C720" t="str">
            <v>KA</v>
          </cell>
          <cell r="D720" t="str">
            <v>KA</v>
          </cell>
          <cell r="E720">
            <v>22490</v>
          </cell>
        </row>
        <row r="721">
          <cell r="A721">
            <v>8903287004612</v>
          </cell>
          <cell r="B721" t="str">
            <v>COOKER HOOD SS-64P-60CM</v>
          </cell>
          <cell r="C721" t="str">
            <v>KA</v>
          </cell>
          <cell r="D721" t="str">
            <v>KA</v>
          </cell>
          <cell r="E721">
            <v>19490</v>
          </cell>
        </row>
        <row r="722">
          <cell r="A722">
            <v>8903287004629</v>
          </cell>
          <cell r="B722" t="str">
            <v>COOKER HOOD GL-15EP-60CM</v>
          </cell>
          <cell r="C722" t="str">
            <v>KA</v>
          </cell>
          <cell r="D722" t="str">
            <v>KA</v>
          </cell>
          <cell r="E722">
            <v>20990</v>
          </cell>
        </row>
        <row r="723">
          <cell r="A723">
            <v>8903287004636</v>
          </cell>
          <cell r="B723" t="str">
            <v>COOKER HOOD GL-15EP-90CM</v>
          </cell>
          <cell r="C723" t="str">
            <v>KA</v>
          </cell>
          <cell r="D723" t="str">
            <v>KA</v>
          </cell>
          <cell r="E723">
            <v>22990</v>
          </cell>
        </row>
        <row r="724">
          <cell r="A724">
            <v>8903287004643</v>
          </cell>
          <cell r="B724" t="str">
            <v>COOKER HOOD SS-EPT 60 CM</v>
          </cell>
          <cell r="C724" t="str">
            <v>KA</v>
          </cell>
          <cell r="D724" t="str">
            <v>KA</v>
          </cell>
          <cell r="E724">
            <v>22990</v>
          </cell>
        </row>
        <row r="725">
          <cell r="A725">
            <v>8903287004650</v>
          </cell>
          <cell r="B725" t="str">
            <v>COOKER HOOD SS-EPT 90 CM</v>
          </cell>
          <cell r="C725" t="str">
            <v>KA</v>
          </cell>
          <cell r="D725" t="str">
            <v>KA</v>
          </cell>
          <cell r="E725">
            <v>25490</v>
          </cell>
        </row>
        <row r="726">
          <cell r="A726">
            <v>8903287004667</v>
          </cell>
          <cell r="B726" t="str">
            <v>COOKER HOOD GL-12TS 60CM</v>
          </cell>
          <cell r="C726" t="str">
            <v>KA</v>
          </cell>
          <cell r="D726" t="str">
            <v>KA</v>
          </cell>
          <cell r="E726">
            <v>29990</v>
          </cell>
        </row>
        <row r="727">
          <cell r="A727">
            <v>8903287004674</v>
          </cell>
          <cell r="B727" t="str">
            <v>COOKER HOOD GL-12TS 90CM</v>
          </cell>
          <cell r="C727" t="str">
            <v>KA</v>
          </cell>
          <cell r="D727" t="str">
            <v>KA</v>
          </cell>
          <cell r="E727">
            <v>32990</v>
          </cell>
        </row>
        <row r="728">
          <cell r="A728">
            <v>8903287004681</v>
          </cell>
          <cell r="B728" t="str">
            <v>BUILT IN HOB 771C LMTR-BG</v>
          </cell>
          <cell r="C728" t="str">
            <v>KA</v>
          </cell>
          <cell r="D728" t="str">
            <v>KA</v>
          </cell>
          <cell r="E728">
            <v>20490</v>
          </cell>
        </row>
        <row r="729">
          <cell r="A729">
            <v>8903287004698</v>
          </cell>
          <cell r="B729" t="str">
            <v>BUILT IN HOB 604E-LTR-BG</v>
          </cell>
          <cell r="C729" t="str">
            <v>KA</v>
          </cell>
          <cell r="D729" t="str">
            <v>KA</v>
          </cell>
          <cell r="E729">
            <v>14990</v>
          </cell>
        </row>
        <row r="730">
          <cell r="A730">
            <v>8903287004704</v>
          </cell>
          <cell r="B730" t="str">
            <v>BUILT IN HOB 603E-LTR-BG</v>
          </cell>
          <cell r="C730" t="str">
            <v>KA</v>
          </cell>
          <cell r="D730" t="str">
            <v>KA</v>
          </cell>
          <cell r="E730">
            <v>14490</v>
          </cell>
        </row>
        <row r="731">
          <cell r="A731">
            <v>8903287004711</v>
          </cell>
          <cell r="B731" t="str">
            <v>ELECTRIC WATER KETTLE IFB-KE1302</v>
          </cell>
          <cell r="C731" t="str">
            <v>KA</v>
          </cell>
          <cell r="D731" t="str">
            <v>KA</v>
          </cell>
          <cell r="E731">
            <v>4099</v>
          </cell>
        </row>
        <row r="732">
          <cell r="A732">
            <v>8903287004728</v>
          </cell>
          <cell r="B732" t="str">
            <v>ELECTRIC WATER KETTLE DIGITAL IFB-KE1306</v>
          </cell>
          <cell r="C732" t="str">
            <v>KA</v>
          </cell>
          <cell r="D732" t="str">
            <v>KA</v>
          </cell>
          <cell r="E732">
            <v>4999</v>
          </cell>
        </row>
        <row r="733">
          <cell r="A733">
            <v>8903287004735</v>
          </cell>
          <cell r="B733" t="str">
            <v>ELECTRIC TOASTER IFB-AT2F62</v>
          </cell>
          <cell r="C733" t="str">
            <v>KA</v>
          </cell>
          <cell r="D733" t="str">
            <v>KA</v>
          </cell>
          <cell r="E733">
            <v>3499</v>
          </cell>
        </row>
        <row r="734">
          <cell r="A734">
            <v>8903287004742</v>
          </cell>
          <cell r="B734" t="str">
            <v>ELECTRIC KETTLE (BLACK) IFB-KE1203B</v>
          </cell>
          <cell r="C734" t="str">
            <v>KA</v>
          </cell>
          <cell r="D734" t="str">
            <v>KA</v>
          </cell>
          <cell r="E734">
            <v>6999</v>
          </cell>
        </row>
        <row r="735">
          <cell r="A735">
            <v>8903287004759</v>
          </cell>
          <cell r="B735" t="str">
            <v>ELECTRIC KETTLE (PINK) IFB-KE1203P</v>
          </cell>
          <cell r="C735" t="str">
            <v>KA</v>
          </cell>
          <cell r="D735" t="str">
            <v>KA</v>
          </cell>
          <cell r="E735">
            <v>6499</v>
          </cell>
        </row>
        <row r="736">
          <cell r="A736">
            <v>8903287004766</v>
          </cell>
          <cell r="B736" t="str">
            <v>BEVERAGE MAKER BASIC IFB-K157</v>
          </cell>
          <cell r="C736" t="str">
            <v>KA</v>
          </cell>
          <cell r="D736" t="str">
            <v>KA</v>
          </cell>
          <cell r="E736">
            <v>7299</v>
          </cell>
        </row>
        <row r="737">
          <cell r="A737">
            <v>8903287004773</v>
          </cell>
          <cell r="B737" t="str">
            <v>BEVERAGE MAKER EXPERT IFB-K185</v>
          </cell>
          <cell r="C737" t="str">
            <v>KA</v>
          </cell>
          <cell r="D737" t="str">
            <v>KA</v>
          </cell>
          <cell r="E737">
            <v>9999</v>
          </cell>
        </row>
        <row r="738">
          <cell r="A738">
            <v>8903287004780</v>
          </cell>
          <cell r="B738" t="str">
            <v>COOKER HOOD-IFB615-C146-S48-75</v>
          </cell>
          <cell r="C738" t="str">
            <v>KA</v>
          </cell>
          <cell r="D738" t="str">
            <v>KA</v>
          </cell>
          <cell r="E738">
            <v>39990</v>
          </cell>
        </row>
        <row r="739">
          <cell r="A739">
            <v>8903287004797</v>
          </cell>
          <cell r="B739" t="str">
            <v>COOKER HOOD-IFB615-C146-S48-90</v>
          </cell>
          <cell r="C739" t="str">
            <v>KA</v>
          </cell>
          <cell r="D739" t="str">
            <v>KA</v>
          </cell>
          <cell r="E739">
            <v>43990</v>
          </cell>
        </row>
        <row r="740">
          <cell r="A740">
            <v>8903287004803</v>
          </cell>
          <cell r="B740" t="str">
            <v>COOKER HOOD-IFB615-C146-S48-ISLAND</v>
          </cell>
          <cell r="C740" t="str">
            <v>KA</v>
          </cell>
          <cell r="D740" t="str">
            <v>KA</v>
          </cell>
          <cell r="E740">
            <v>49990</v>
          </cell>
        </row>
        <row r="741">
          <cell r="A741">
            <v>8903287004810</v>
          </cell>
          <cell r="B741" t="str">
            <v>GAS HOB-90-GCI5B</v>
          </cell>
          <cell r="C741" t="str">
            <v>KA</v>
          </cell>
          <cell r="D741" t="str">
            <v>KA</v>
          </cell>
          <cell r="E741">
            <v>28990</v>
          </cell>
        </row>
        <row r="742">
          <cell r="A742">
            <v>8903287004827</v>
          </cell>
          <cell r="B742" t="str">
            <v>GAS HOB-78-GCI3B</v>
          </cell>
          <cell r="C742" t="str">
            <v>KA</v>
          </cell>
          <cell r="D742" t="str">
            <v>KA</v>
          </cell>
          <cell r="E742">
            <v>23490</v>
          </cell>
        </row>
        <row r="743">
          <cell r="A743">
            <v>8903287004834</v>
          </cell>
          <cell r="B743" t="str">
            <v>GAS HOB-60-04-GCI4B</v>
          </cell>
          <cell r="C743" t="str">
            <v>KA</v>
          </cell>
          <cell r="D743" t="str">
            <v>KA</v>
          </cell>
          <cell r="E743">
            <v>22990</v>
          </cell>
        </row>
        <row r="744">
          <cell r="A744">
            <v>8903287004841</v>
          </cell>
          <cell r="B744" t="str">
            <v>GAS HOB-60-02-GCI4B</v>
          </cell>
          <cell r="C744" t="str">
            <v>KA</v>
          </cell>
          <cell r="D744" t="str">
            <v>KA</v>
          </cell>
          <cell r="E744">
            <v>20990</v>
          </cell>
        </row>
        <row r="745">
          <cell r="A745">
            <v>8903287004858</v>
          </cell>
          <cell r="B745" t="str">
            <v>GAS HOB-60-GCI4B-FFD</v>
          </cell>
          <cell r="C745" t="str">
            <v>KA</v>
          </cell>
          <cell r="D745" t="str">
            <v>KA</v>
          </cell>
          <cell r="E745">
            <v>23490</v>
          </cell>
        </row>
        <row r="746">
          <cell r="A746">
            <v>8903287004865</v>
          </cell>
          <cell r="B746" t="str">
            <v>GAS HOB-60-GCI3B</v>
          </cell>
          <cell r="C746" t="str">
            <v>KA</v>
          </cell>
          <cell r="D746" t="str">
            <v>KA</v>
          </cell>
          <cell r="E746">
            <v>19990</v>
          </cell>
        </row>
        <row r="747">
          <cell r="A747">
            <v>8903287004872</v>
          </cell>
          <cell r="B747" t="str">
            <v>GAS HOB- FB-60-01-GCI4B-FFD</v>
          </cell>
          <cell r="C747" t="str">
            <v>KA</v>
          </cell>
          <cell r="D747" t="str">
            <v>KA</v>
          </cell>
          <cell r="E747">
            <v>25490</v>
          </cell>
        </row>
        <row r="748">
          <cell r="A748">
            <v>8903287004889</v>
          </cell>
          <cell r="B748" t="str">
            <v>COOKER HOOD IFB GL-HC-105-90</v>
          </cell>
          <cell r="C748" t="str">
            <v>KA</v>
          </cell>
          <cell r="D748" t="str">
            <v>KA</v>
          </cell>
          <cell r="E748">
            <v>36990</v>
          </cell>
        </row>
        <row r="749">
          <cell r="A749">
            <v>8903287004896</v>
          </cell>
          <cell r="B749" t="str">
            <v>COOKER HOOD IFB GL-HC-105-60</v>
          </cell>
          <cell r="C749" t="str">
            <v>KA</v>
          </cell>
          <cell r="D749" t="str">
            <v>KA</v>
          </cell>
          <cell r="E749">
            <v>35990</v>
          </cell>
        </row>
        <row r="750">
          <cell r="A750">
            <v>8903287004902</v>
          </cell>
          <cell r="B750" t="str">
            <v>COOKER HOOD IFB GS-HC-104-90</v>
          </cell>
          <cell r="C750" t="str">
            <v>KA</v>
          </cell>
          <cell r="D750" t="str">
            <v>KA</v>
          </cell>
          <cell r="E750">
            <v>43990</v>
          </cell>
        </row>
        <row r="751">
          <cell r="A751">
            <v>8903287004919</v>
          </cell>
          <cell r="B751" t="str">
            <v>COOKER HOOD OLIM BF-60</v>
          </cell>
          <cell r="C751" t="str">
            <v>KA</v>
          </cell>
          <cell r="D751" t="str">
            <v>KA</v>
          </cell>
          <cell r="E751">
            <v>18990</v>
          </cell>
        </row>
        <row r="752">
          <cell r="A752">
            <v>8903287004926</v>
          </cell>
          <cell r="B752" t="str">
            <v>COOKER HOOD N-6 -BF-SS</v>
          </cell>
          <cell r="C752" t="str">
            <v>KA</v>
          </cell>
          <cell r="D752" t="str">
            <v>KA</v>
          </cell>
          <cell r="E752">
            <v>13990</v>
          </cell>
        </row>
        <row r="753">
          <cell r="A753">
            <v>8903287004933</v>
          </cell>
          <cell r="B753" t="str">
            <v>COOKER HOOD N-6-BF -BLACK</v>
          </cell>
          <cell r="C753" t="str">
            <v>KA</v>
          </cell>
          <cell r="D753" t="str">
            <v>KA</v>
          </cell>
          <cell r="E753">
            <v>13490</v>
          </cell>
        </row>
        <row r="754">
          <cell r="A754">
            <v>8903287004940</v>
          </cell>
          <cell r="B754" t="str">
            <v>COOKER HOOD EPT-BF-BL 90</v>
          </cell>
          <cell r="C754" t="str">
            <v>KA</v>
          </cell>
          <cell r="D754" t="str">
            <v>KA</v>
          </cell>
          <cell r="E754">
            <v>22990</v>
          </cell>
        </row>
        <row r="755">
          <cell r="A755">
            <v>8903287004957</v>
          </cell>
          <cell r="B755" t="str">
            <v>COOKER HOOD EPT- BF-BL 60</v>
          </cell>
          <cell r="C755" t="str">
            <v>KA</v>
          </cell>
          <cell r="D755" t="str">
            <v>KA</v>
          </cell>
          <cell r="E755">
            <v>19990</v>
          </cell>
        </row>
        <row r="756">
          <cell r="A756">
            <v>8903287004964</v>
          </cell>
          <cell r="B756" t="str">
            <v>COOKER HOOD OLIM BF-60  PLUS</v>
          </cell>
          <cell r="C756" t="str">
            <v>KA</v>
          </cell>
          <cell r="D756" t="str">
            <v>KA</v>
          </cell>
          <cell r="E756">
            <v>19290</v>
          </cell>
        </row>
        <row r="757">
          <cell r="A757">
            <v>8903287004971</v>
          </cell>
          <cell r="B757" t="str">
            <v>COOKER HOOD EC -BS -60BF</v>
          </cell>
          <cell r="C757" t="str">
            <v>KA</v>
          </cell>
          <cell r="D757" t="str">
            <v>KA</v>
          </cell>
          <cell r="E757">
            <v>28990</v>
          </cell>
        </row>
        <row r="758">
          <cell r="A758">
            <v>8903287004988</v>
          </cell>
          <cell r="B758" t="str">
            <v>COOKER HOOD EC-SS-60BF</v>
          </cell>
          <cell r="C758" t="str">
            <v>KA</v>
          </cell>
          <cell r="D758" t="str">
            <v>KA</v>
          </cell>
          <cell r="E758">
            <v>23990</v>
          </cell>
        </row>
        <row r="759">
          <cell r="A759">
            <v>8903287004995</v>
          </cell>
          <cell r="B759" t="str">
            <v>BUILT IN HOB 90-GCI5B</v>
          </cell>
          <cell r="C759" t="str">
            <v>KA</v>
          </cell>
          <cell r="D759" t="str">
            <v>KA</v>
          </cell>
          <cell r="E759">
            <v>32490</v>
          </cell>
        </row>
        <row r="760">
          <cell r="A760">
            <v>8903287005688</v>
          </cell>
          <cell r="B760" t="str">
            <v>BUILT IN MICROWAVE OVEN 34BIC2</v>
          </cell>
          <cell r="C760" t="str">
            <v>KA</v>
          </cell>
          <cell r="D760" t="str">
            <v>KA</v>
          </cell>
          <cell r="E760">
            <v>45990</v>
          </cell>
        </row>
        <row r="761">
          <cell r="A761">
            <v>8903287007170</v>
          </cell>
          <cell r="B761" t="str">
            <v>COOKER HOOD  NP-5SM-60CM</v>
          </cell>
          <cell r="C761" t="str">
            <v>KA</v>
          </cell>
          <cell r="D761" t="str">
            <v>KA</v>
          </cell>
          <cell r="E761">
            <v>4990</v>
          </cell>
        </row>
        <row r="762">
          <cell r="A762">
            <v>8903287040009</v>
          </cell>
          <cell r="B762" t="str">
            <v>BUILT IN HOB 78-GCI3B</v>
          </cell>
          <cell r="C762" t="str">
            <v>KA</v>
          </cell>
          <cell r="D762" t="str">
            <v>KA</v>
          </cell>
          <cell r="E762">
            <v>24890</v>
          </cell>
        </row>
        <row r="763">
          <cell r="A763">
            <v>8903287040016</v>
          </cell>
          <cell r="B763" t="str">
            <v>BUILT IN HOB 60-04-GCI4B</v>
          </cell>
          <cell r="C763" t="str">
            <v>KA</v>
          </cell>
          <cell r="D763" t="str">
            <v>KA</v>
          </cell>
          <cell r="E763">
            <v>25290</v>
          </cell>
        </row>
        <row r="764">
          <cell r="A764">
            <v>8903287040023</v>
          </cell>
          <cell r="B764" t="str">
            <v>BUILT IN HOB 60-02-GCI4B</v>
          </cell>
          <cell r="C764" t="str">
            <v>KA</v>
          </cell>
          <cell r="D764" t="str">
            <v>KA</v>
          </cell>
          <cell r="E764">
            <v>20990</v>
          </cell>
        </row>
        <row r="765">
          <cell r="A765">
            <v>8903287040030</v>
          </cell>
          <cell r="B765" t="str">
            <v>BUILT IN HOB 60-GCI4B-FFD</v>
          </cell>
          <cell r="C765" t="str">
            <v>KA</v>
          </cell>
          <cell r="D765" t="str">
            <v>KA</v>
          </cell>
          <cell r="E765">
            <v>23490</v>
          </cell>
        </row>
        <row r="766">
          <cell r="A766">
            <v>8903287040047</v>
          </cell>
          <cell r="B766" t="str">
            <v>BUILT IN HOB 60-GCI3B</v>
          </cell>
          <cell r="C766" t="str">
            <v>KA</v>
          </cell>
          <cell r="D766" t="str">
            <v>KA</v>
          </cell>
          <cell r="E766">
            <v>22190</v>
          </cell>
        </row>
        <row r="767">
          <cell r="A767">
            <v>8903287040054</v>
          </cell>
          <cell r="B767" t="str">
            <v>BUILT IN HOB FB-60-01-GCI4B-FFD</v>
          </cell>
          <cell r="C767" t="str">
            <v>KA</v>
          </cell>
          <cell r="D767" t="str">
            <v>KA</v>
          </cell>
          <cell r="E767">
            <v>28490</v>
          </cell>
        </row>
        <row r="768">
          <cell r="A768">
            <v>8903287040092</v>
          </cell>
          <cell r="B768" t="str">
            <v>COOKER HOOD IFB GL-HC-106-90</v>
          </cell>
          <cell r="C768" t="str">
            <v>KA</v>
          </cell>
          <cell r="D768" t="str">
            <v>KA</v>
          </cell>
          <cell r="E768">
            <v>38990</v>
          </cell>
        </row>
        <row r="769">
          <cell r="A769">
            <v>8903287040108</v>
          </cell>
          <cell r="B769" t="str">
            <v>COOKER HOOD EC - BS HS -60 BF</v>
          </cell>
          <cell r="C769" t="str">
            <v>KA</v>
          </cell>
          <cell r="D769" t="str">
            <v>KA</v>
          </cell>
          <cell r="E769">
            <v>29990</v>
          </cell>
        </row>
        <row r="770">
          <cell r="A770">
            <v>8903287040115</v>
          </cell>
          <cell r="B770" t="str">
            <v>BUILT IN OVEN 656 FTCB/E-RCT</v>
          </cell>
          <cell r="C770" t="str">
            <v>KA</v>
          </cell>
          <cell r="D770" t="str">
            <v>KA</v>
          </cell>
          <cell r="E770">
            <v>54990</v>
          </cell>
        </row>
        <row r="771">
          <cell r="A771">
            <v>8903287040122</v>
          </cell>
          <cell r="B771" t="str">
            <v>COOKER HOOD EC - BS HS -90 BF</v>
          </cell>
          <cell r="C771" t="str">
            <v>KA</v>
          </cell>
          <cell r="D771" t="str">
            <v>KA</v>
          </cell>
          <cell r="E771">
            <v>32990</v>
          </cell>
        </row>
        <row r="772">
          <cell r="A772">
            <v>8903287040139</v>
          </cell>
          <cell r="B772" t="str">
            <v>COOKER HOOD IFB GL-HC-107-90</v>
          </cell>
          <cell r="C772" t="str">
            <v>KA</v>
          </cell>
          <cell r="D772" t="str">
            <v>KA</v>
          </cell>
          <cell r="E772">
            <v>42540</v>
          </cell>
        </row>
        <row r="773">
          <cell r="A773">
            <v>8903287040146</v>
          </cell>
          <cell r="B773" t="str">
            <v>BUILT IN HOB 78-GCI4B-3D-FFD</v>
          </cell>
          <cell r="C773" t="str">
            <v>KA</v>
          </cell>
          <cell r="D773" t="str">
            <v>KA</v>
          </cell>
          <cell r="E773">
            <v>31990</v>
          </cell>
        </row>
        <row r="774">
          <cell r="A774">
            <v>8903287040153</v>
          </cell>
          <cell r="B774" t="str">
            <v>COOKER HOOD EC1-BS-HS-60 BF</v>
          </cell>
          <cell r="C774" t="str">
            <v>KA</v>
          </cell>
          <cell r="D774" t="str">
            <v>KA</v>
          </cell>
          <cell r="E774">
            <v>29340</v>
          </cell>
        </row>
        <row r="775">
          <cell r="A775">
            <v>8903287040160</v>
          </cell>
          <cell r="B775" t="str">
            <v>COOKER HOOD EC1-BS-HS-90 BF</v>
          </cell>
          <cell r="C775" t="str">
            <v>KA</v>
          </cell>
          <cell r="D775" t="str">
            <v>KA</v>
          </cell>
          <cell r="E775">
            <v>31490</v>
          </cell>
        </row>
        <row r="776">
          <cell r="A776">
            <v>8903287040184</v>
          </cell>
          <cell r="B776" t="str">
            <v>COOKER HOOD IFB GL-HC-107-60</v>
          </cell>
          <cell r="C776" t="str">
            <v>KA</v>
          </cell>
          <cell r="D776" t="str">
            <v>KA</v>
          </cell>
          <cell r="E776">
            <v>43640</v>
          </cell>
        </row>
        <row r="777">
          <cell r="A777">
            <v>8903287040191</v>
          </cell>
          <cell r="B777" t="str">
            <v>BUILT IN HOB 78-GCI4B</v>
          </cell>
          <cell r="C777" t="str">
            <v>KA</v>
          </cell>
          <cell r="D777" t="str">
            <v>KA</v>
          </cell>
          <cell r="E777">
            <v>26990</v>
          </cell>
        </row>
        <row r="778">
          <cell r="A778">
            <v>8903287040207</v>
          </cell>
          <cell r="B778" t="str">
            <v>COOKER HOOD EC2-BS-HS-90BF</v>
          </cell>
          <cell r="C778" t="str">
            <v>KA</v>
          </cell>
          <cell r="D778" t="str">
            <v>KA</v>
          </cell>
          <cell r="E778">
            <v>32990</v>
          </cell>
        </row>
        <row r="779">
          <cell r="A779">
            <v>8903287040214</v>
          </cell>
          <cell r="B779" t="str">
            <v>BUILT IN HOB 78-GCI4B-3D FB FFD</v>
          </cell>
          <cell r="C779" t="str">
            <v>KA</v>
          </cell>
          <cell r="D779" t="str">
            <v>KA</v>
          </cell>
          <cell r="E779">
            <v>37990</v>
          </cell>
        </row>
        <row r="780">
          <cell r="A780">
            <v>8903287040221</v>
          </cell>
          <cell r="B780" t="str">
            <v>COOKER HOOD GS-HC–90 BLDC</v>
          </cell>
          <cell r="C780" t="str">
            <v>KA</v>
          </cell>
          <cell r="D780" t="str">
            <v>KA</v>
          </cell>
          <cell r="E780">
            <v>37990</v>
          </cell>
        </row>
        <row r="781">
          <cell r="A781">
            <v>8903287040238</v>
          </cell>
          <cell r="B781" t="str">
            <v>COOKER HOOD  EC4-BS-HS-90BF-BLDC</v>
          </cell>
          <cell r="C781" t="str">
            <v>KA</v>
          </cell>
          <cell r="D781" t="str">
            <v>KA</v>
          </cell>
          <cell r="E781">
            <v>34990</v>
          </cell>
        </row>
        <row r="782">
          <cell r="A782">
            <v>8903287040245</v>
          </cell>
          <cell r="B782" t="str">
            <v>COOKER HOOD GS-HS-90-BLDC ISLAND</v>
          </cell>
          <cell r="C782" t="str">
            <v>KA</v>
          </cell>
          <cell r="D782" t="str">
            <v>KA</v>
          </cell>
          <cell r="E782">
            <v>51990</v>
          </cell>
        </row>
        <row r="783">
          <cell r="A783">
            <v>8903287040337</v>
          </cell>
          <cell r="B783" t="str">
            <v>COOKER HOOD  EC4-BS-HS-60BF-BLDC</v>
          </cell>
          <cell r="C783" t="str">
            <v>KA</v>
          </cell>
          <cell r="D783" t="str">
            <v>KA</v>
          </cell>
          <cell r="E783">
            <v>34490</v>
          </cell>
        </row>
        <row r="784">
          <cell r="A784">
            <v>8903287040368</v>
          </cell>
          <cell r="B784" t="str">
            <v>COOKER HOOD EC-BK-HS-60FL</v>
          </cell>
          <cell r="C784" t="str">
            <v>KA</v>
          </cell>
          <cell r="D784" t="str">
            <v>KA</v>
          </cell>
          <cell r="E784">
            <v>27290</v>
          </cell>
        </row>
        <row r="785">
          <cell r="A785">
            <v>8903287040375</v>
          </cell>
          <cell r="B785" t="str">
            <v>COOKER HOOD EC-BK-HS-90FL</v>
          </cell>
          <cell r="C785" t="str">
            <v>KA</v>
          </cell>
          <cell r="D785" t="str">
            <v>KA</v>
          </cell>
          <cell r="E785">
            <v>28990</v>
          </cell>
        </row>
        <row r="786">
          <cell r="A786">
            <v>8903287040382</v>
          </cell>
          <cell r="B786" t="str">
            <v>BUILT IN HOB 78-GCI3B-3D-FFD</v>
          </cell>
          <cell r="C786" t="str">
            <v>KA</v>
          </cell>
          <cell r="D786" t="str">
            <v>KA</v>
          </cell>
          <cell r="E786">
            <v>26800</v>
          </cell>
        </row>
        <row r="787">
          <cell r="A787">
            <v>8903287040399</v>
          </cell>
          <cell r="B787" t="str">
            <v>BUILT IN HOB 60-GCI3B-3D-FFD</v>
          </cell>
          <cell r="C787" t="str">
            <v>KA</v>
          </cell>
          <cell r="D787" t="str">
            <v>KA</v>
          </cell>
          <cell r="E787">
            <v>25250</v>
          </cell>
        </row>
        <row r="788">
          <cell r="A788">
            <v>8903287040405</v>
          </cell>
          <cell r="B788" t="str">
            <v>COOKER HOOD EC BK 60 FL</v>
          </cell>
          <cell r="C788" t="str">
            <v>KA</v>
          </cell>
          <cell r="D788" t="str">
            <v>KA</v>
          </cell>
          <cell r="E788">
            <v>16990</v>
          </cell>
        </row>
        <row r="789">
          <cell r="A789">
            <v>8903287100475</v>
          </cell>
          <cell r="B789" t="str">
            <v>KITCHEN APPLIANCES SAMPLE</v>
          </cell>
          <cell r="C789" t="str">
            <v>KA</v>
          </cell>
          <cell r="D789" t="str">
            <v>KA</v>
          </cell>
          <cell r="E789">
            <v>10000</v>
          </cell>
        </row>
        <row r="790">
          <cell r="A790" t="str">
            <v>KR911SSUCI010F</v>
          </cell>
          <cell r="B790" t="str">
            <v>COOKER HOOD-IFB615-C146-S48-ISLAND</v>
          </cell>
          <cell r="C790" t="str">
            <v>KA</v>
          </cell>
          <cell r="D790" t="str">
            <v>KA</v>
          </cell>
          <cell r="E790">
            <v>3900</v>
          </cell>
        </row>
        <row r="791">
          <cell r="A791">
            <v>8903287013003</v>
          </cell>
          <cell r="B791" t="str">
            <v>MOD KITCHEN QUADRA 1.0  VENGULERKAR,GOA</v>
          </cell>
          <cell r="C791" t="str">
            <v>MK</v>
          </cell>
          <cell r="D791" t="str">
            <v>MK</v>
          </cell>
          <cell r="E791">
            <v>196000</v>
          </cell>
        </row>
        <row r="792">
          <cell r="A792">
            <v>8903287013010</v>
          </cell>
          <cell r="B792" t="str">
            <v>MOD KITCHEN  QUADRA 1.1 RITESH,GOA</v>
          </cell>
          <cell r="C792" t="str">
            <v>MK</v>
          </cell>
          <cell r="D792" t="str">
            <v>MK</v>
          </cell>
          <cell r="E792">
            <v>221000</v>
          </cell>
        </row>
        <row r="793">
          <cell r="A793">
            <v>8903287013027</v>
          </cell>
          <cell r="B793" t="str">
            <v>MOD KITCHEN QUADRA 1.2 TUPPERWARE,MUMBAI</v>
          </cell>
          <cell r="C793" t="str">
            <v>MK</v>
          </cell>
          <cell r="D793" t="str">
            <v>MK</v>
          </cell>
          <cell r="E793">
            <v>350000</v>
          </cell>
        </row>
        <row r="794">
          <cell r="A794">
            <v>8903287013034</v>
          </cell>
          <cell r="B794" t="str">
            <v>MOD KITCHEN QUADRA 1.3 VINOD,GOA</v>
          </cell>
          <cell r="C794" t="str">
            <v>MK</v>
          </cell>
          <cell r="D794" t="str">
            <v>MK</v>
          </cell>
          <cell r="E794">
            <v>340000</v>
          </cell>
        </row>
        <row r="795">
          <cell r="A795">
            <v>8903287013041</v>
          </cell>
          <cell r="B795" t="str">
            <v>MOD KITCHEN  PRISMA 1.0 SARANSH ,DAMAN</v>
          </cell>
          <cell r="C795" t="str">
            <v>MK</v>
          </cell>
          <cell r="D795" t="str">
            <v>MK</v>
          </cell>
          <cell r="E795">
            <v>88000</v>
          </cell>
        </row>
        <row r="796">
          <cell r="A796">
            <v>8903287013058</v>
          </cell>
          <cell r="B796" t="str">
            <v>MOD KITCHEN PRISMA 1.1 GRACE PROJECT,AHD</v>
          </cell>
          <cell r="C796" t="str">
            <v>MK</v>
          </cell>
          <cell r="D796" t="str">
            <v>MK</v>
          </cell>
          <cell r="E796">
            <v>142000</v>
          </cell>
        </row>
        <row r="797">
          <cell r="A797">
            <v>8903287013065</v>
          </cell>
          <cell r="B797" t="str">
            <v>MOD KITCHEN  QUADRA 1.4 SINGH,DELHI</v>
          </cell>
          <cell r="C797" t="str">
            <v>MK</v>
          </cell>
          <cell r="D797" t="str">
            <v>MK</v>
          </cell>
          <cell r="E797">
            <v>299000</v>
          </cell>
        </row>
        <row r="798">
          <cell r="A798">
            <v>8903287013072</v>
          </cell>
          <cell r="B798" t="str">
            <v>MOD KITCHEN  QUADRA 1.5 ABHISEK.GOA</v>
          </cell>
          <cell r="C798" t="str">
            <v>MK</v>
          </cell>
          <cell r="D798" t="str">
            <v>MK</v>
          </cell>
          <cell r="E798">
            <v>180000</v>
          </cell>
        </row>
        <row r="799">
          <cell r="A799">
            <v>8903287013089</v>
          </cell>
          <cell r="B799" t="str">
            <v>MOD KITCHEN QUADRA 1.6 ASHOK PROJECT,GOA</v>
          </cell>
          <cell r="C799" t="str">
            <v>MK</v>
          </cell>
          <cell r="D799" t="str">
            <v>MK</v>
          </cell>
          <cell r="E799">
            <v>200000</v>
          </cell>
        </row>
        <row r="800">
          <cell r="A800">
            <v>8903287013096</v>
          </cell>
          <cell r="B800" t="str">
            <v>MOD KITCHEN  QUADRA 1.7 SHOW ROOM,MYSORE</v>
          </cell>
          <cell r="C800" t="str">
            <v>MK</v>
          </cell>
          <cell r="D800" t="str">
            <v>MK</v>
          </cell>
          <cell r="E800">
            <v>1781800</v>
          </cell>
        </row>
        <row r="801">
          <cell r="A801">
            <v>8903287013102</v>
          </cell>
          <cell r="B801" t="str">
            <v>MOD KITCHEN QUADRA 1.8 FAROKH,MYSORE</v>
          </cell>
          <cell r="C801" t="str">
            <v>MK</v>
          </cell>
          <cell r="D801" t="str">
            <v>MK</v>
          </cell>
          <cell r="E801">
            <v>450000</v>
          </cell>
        </row>
        <row r="802">
          <cell r="A802">
            <v>8903287013119</v>
          </cell>
          <cell r="B802" t="str">
            <v>MODULAR KITCHEN - MATRIX FOR PARAMOUNT</v>
          </cell>
          <cell r="C802" t="str">
            <v>MK</v>
          </cell>
          <cell r="D802" t="str">
            <v>MK</v>
          </cell>
          <cell r="E802">
            <v>120000</v>
          </cell>
        </row>
        <row r="803">
          <cell r="A803">
            <v>8903287013126</v>
          </cell>
          <cell r="B803" t="str">
            <v>MODULAR KITCHEN - LEVANTE FOR ADNANI</v>
          </cell>
          <cell r="C803" t="str">
            <v>MK</v>
          </cell>
          <cell r="D803" t="str">
            <v>MK</v>
          </cell>
          <cell r="E803">
            <v>1010000</v>
          </cell>
        </row>
        <row r="804">
          <cell r="A804">
            <v>8903287013133</v>
          </cell>
          <cell r="B804" t="str">
            <v>MODULAR KITCHEN - DOMINO FOR YADAV</v>
          </cell>
          <cell r="C804" t="str">
            <v>MK</v>
          </cell>
          <cell r="D804" t="str">
            <v>MK</v>
          </cell>
          <cell r="E804">
            <v>374000</v>
          </cell>
        </row>
        <row r="805">
          <cell r="A805">
            <v>8903287013140</v>
          </cell>
          <cell r="B805" t="str">
            <v>MODULAR KITCHEN - QUADRA FOR VIVEK SINGH</v>
          </cell>
          <cell r="C805" t="str">
            <v>MK</v>
          </cell>
          <cell r="D805" t="str">
            <v>MK</v>
          </cell>
          <cell r="E805">
            <v>440000</v>
          </cell>
        </row>
        <row r="806">
          <cell r="A806">
            <v>8903287013157</v>
          </cell>
          <cell r="B806" t="str">
            <v>MODULAR KITCHEN - PRISMA FOR RAGHUNATH</v>
          </cell>
          <cell r="C806" t="str">
            <v>MK</v>
          </cell>
          <cell r="D806" t="str">
            <v>MK</v>
          </cell>
          <cell r="E806">
            <v>250000</v>
          </cell>
        </row>
        <row r="807">
          <cell r="A807">
            <v>8903287013164</v>
          </cell>
          <cell r="B807" t="str">
            <v>MODULAR KITCHEN - PRISMA FOR PRAKASH</v>
          </cell>
          <cell r="C807" t="str">
            <v>MK</v>
          </cell>
          <cell r="D807" t="str">
            <v>MK</v>
          </cell>
          <cell r="E807">
            <v>235000</v>
          </cell>
        </row>
        <row r="808">
          <cell r="A808">
            <v>8903287013171</v>
          </cell>
          <cell r="B808" t="str">
            <v>MODULAR KITCHEN - QUADRA FOR SHARMA</v>
          </cell>
          <cell r="C808" t="str">
            <v>MK</v>
          </cell>
          <cell r="D808" t="str">
            <v>MK</v>
          </cell>
          <cell r="E808">
            <v>235000</v>
          </cell>
        </row>
        <row r="809">
          <cell r="A809">
            <v>8903287013195</v>
          </cell>
          <cell r="B809" t="str">
            <v>MODULAR KITCHEN - QUADRA FOR SANJAY</v>
          </cell>
          <cell r="C809" t="str">
            <v>MK</v>
          </cell>
          <cell r="D809" t="str">
            <v>MK</v>
          </cell>
          <cell r="E809">
            <v>430000</v>
          </cell>
        </row>
        <row r="810">
          <cell r="A810">
            <v>8903287013201</v>
          </cell>
          <cell r="B810" t="str">
            <v>MODULAR KITCHEN -ALA FOR SANTA FE MOCKUP</v>
          </cell>
          <cell r="C810" t="str">
            <v>MK</v>
          </cell>
          <cell r="D810" t="str">
            <v>MK</v>
          </cell>
          <cell r="E810">
            <v>260000</v>
          </cell>
        </row>
        <row r="811">
          <cell r="A811">
            <v>8903287013218</v>
          </cell>
          <cell r="B811" t="str">
            <v>MOD KITCHEN-PRISMA FOR ALCON TYPEA RIGHT</v>
          </cell>
          <cell r="C811" t="str">
            <v>MK</v>
          </cell>
          <cell r="D811" t="str">
            <v>MK</v>
          </cell>
          <cell r="E811">
            <v>110000</v>
          </cell>
        </row>
        <row r="812">
          <cell r="A812">
            <v>8903287013225</v>
          </cell>
          <cell r="B812" t="str">
            <v>MOD KITCHEN-PRISMA FOR ALCON TYPEB LEFT</v>
          </cell>
          <cell r="C812" t="str">
            <v>MK</v>
          </cell>
          <cell r="D812" t="str">
            <v>MK</v>
          </cell>
          <cell r="E812">
            <v>130000</v>
          </cell>
        </row>
        <row r="813">
          <cell r="A813">
            <v>8903287013249</v>
          </cell>
          <cell r="B813" t="str">
            <v>MODULAR KITCHEN - LEVANTE FOR SETHI</v>
          </cell>
          <cell r="C813" t="str">
            <v>MK</v>
          </cell>
          <cell r="D813" t="str">
            <v>MK</v>
          </cell>
          <cell r="E813">
            <v>380000</v>
          </cell>
        </row>
        <row r="814">
          <cell r="A814">
            <v>8903287013256</v>
          </cell>
          <cell r="B814" t="str">
            <v>MODULAR KITCHEN - QUADRA FOR DESHMUKH</v>
          </cell>
          <cell r="C814" t="str">
            <v>MK</v>
          </cell>
          <cell r="D814" t="str">
            <v>MK</v>
          </cell>
          <cell r="E814">
            <v>190000</v>
          </cell>
        </row>
        <row r="815">
          <cell r="A815">
            <v>8903287013379</v>
          </cell>
          <cell r="B815" t="str">
            <v>MOD KITCHEN - PRISMA FOR SHANK AGARWAL</v>
          </cell>
          <cell r="C815" t="str">
            <v>MK</v>
          </cell>
          <cell r="D815" t="str">
            <v>MK</v>
          </cell>
          <cell r="E815">
            <v>495000</v>
          </cell>
        </row>
        <row r="816">
          <cell r="A816">
            <v>8903287013386</v>
          </cell>
          <cell r="B816" t="str">
            <v>MOD KITCHEN-ALTHEA CHERRY FOR DR.BARATHI</v>
          </cell>
          <cell r="C816" t="str">
            <v>MK</v>
          </cell>
          <cell r="D816" t="str">
            <v>MK</v>
          </cell>
          <cell r="E816">
            <v>530000</v>
          </cell>
        </row>
        <row r="817">
          <cell r="A817">
            <v>8903287013393</v>
          </cell>
          <cell r="B817" t="str">
            <v>MOD KITCHEN - LEVANTE FOR ASHISH TOMER</v>
          </cell>
          <cell r="C817" t="str">
            <v>MK</v>
          </cell>
          <cell r="D817" t="str">
            <v>MK</v>
          </cell>
          <cell r="E817">
            <v>430000</v>
          </cell>
        </row>
        <row r="818">
          <cell r="A818">
            <v>8903287013416</v>
          </cell>
          <cell r="B818" t="str">
            <v>LEVANTE-REFELECT WHITE FOR GOA SHOWROOM</v>
          </cell>
          <cell r="C818" t="str">
            <v>MK</v>
          </cell>
          <cell r="D818" t="str">
            <v>MK</v>
          </cell>
          <cell r="E818">
            <v>520000</v>
          </cell>
        </row>
        <row r="819">
          <cell r="A819">
            <v>8903287013423</v>
          </cell>
          <cell r="B819" t="str">
            <v>QUADRA-CUPPUCCINO FOR GOA SHOWROOM</v>
          </cell>
          <cell r="C819" t="str">
            <v>MK</v>
          </cell>
          <cell r="D819" t="str">
            <v>MK</v>
          </cell>
          <cell r="E819">
            <v>520000</v>
          </cell>
        </row>
        <row r="820">
          <cell r="A820">
            <v>8903287013430</v>
          </cell>
          <cell r="B820" t="str">
            <v>ALA GRAPHITE GREY FOR GOA SHOWROOM</v>
          </cell>
          <cell r="C820" t="str">
            <v>MK</v>
          </cell>
          <cell r="D820" t="str">
            <v>MK</v>
          </cell>
          <cell r="E820">
            <v>535000</v>
          </cell>
        </row>
        <row r="821">
          <cell r="A821">
            <v>8903287013447</v>
          </cell>
          <cell r="B821" t="str">
            <v>TRATTO RACING RED FOR GOA SHOWROOM</v>
          </cell>
          <cell r="C821" t="str">
            <v>MK</v>
          </cell>
          <cell r="D821" t="str">
            <v>MK</v>
          </cell>
          <cell r="E821">
            <v>450000</v>
          </cell>
        </row>
        <row r="822">
          <cell r="A822">
            <v>8903287013454</v>
          </cell>
          <cell r="B822" t="str">
            <v>STRUTTURA FOR GOA SHOWROOM</v>
          </cell>
          <cell r="C822" t="str">
            <v>MK</v>
          </cell>
          <cell r="D822" t="str">
            <v>MK</v>
          </cell>
          <cell r="E822">
            <v>500000</v>
          </cell>
        </row>
        <row r="823">
          <cell r="A823">
            <v>8903287013492</v>
          </cell>
          <cell r="B823" t="str">
            <v>MODULAR KITCHEN - ALA FOR SHIV PRAKASH</v>
          </cell>
          <cell r="C823" t="str">
            <v>MK</v>
          </cell>
          <cell r="D823" t="str">
            <v>MK</v>
          </cell>
          <cell r="E823">
            <v>650000</v>
          </cell>
        </row>
        <row r="824">
          <cell r="A824">
            <v>8903287013812</v>
          </cell>
          <cell r="B824" t="str">
            <v>MODULAR KITCHEN FOR MRS KIM</v>
          </cell>
          <cell r="C824" t="str">
            <v>MK</v>
          </cell>
          <cell r="D824" t="str">
            <v>MK</v>
          </cell>
          <cell r="E824">
            <v>325000</v>
          </cell>
        </row>
        <row r="825">
          <cell r="A825">
            <v>8903287013874</v>
          </cell>
          <cell r="B825" t="str">
            <v>MK FOR MR NAYAN RAHEJA (KITCHEN 1)</v>
          </cell>
          <cell r="C825" t="str">
            <v>MK</v>
          </cell>
          <cell r="D825" t="str">
            <v>MK</v>
          </cell>
          <cell r="E825">
            <v>700000</v>
          </cell>
        </row>
        <row r="826">
          <cell r="A826">
            <v>8903287013881</v>
          </cell>
          <cell r="B826" t="str">
            <v>MK FOR MR NAYAN RAHEJA (KITCHEN 2)</v>
          </cell>
          <cell r="C826" t="str">
            <v>MK</v>
          </cell>
          <cell r="D826" t="str">
            <v>MK</v>
          </cell>
          <cell r="E826">
            <v>300000</v>
          </cell>
        </row>
        <row r="827">
          <cell r="A827">
            <v>8903287013911</v>
          </cell>
          <cell r="B827" t="str">
            <v>MK FOR MOD.PRISMA/QUADRA UMARBHAI MTRBLK</v>
          </cell>
          <cell r="C827" t="str">
            <v>MK</v>
          </cell>
          <cell r="D827" t="str">
            <v>MK</v>
          </cell>
          <cell r="E827">
            <v>225000</v>
          </cell>
        </row>
        <row r="828">
          <cell r="A828">
            <v>8903287013928</v>
          </cell>
          <cell r="B828" t="str">
            <v>MK FOR MOD.PRISMA/QUADRA UMARBHAI BLK B</v>
          </cell>
          <cell r="C828" t="str">
            <v>MK</v>
          </cell>
          <cell r="D828" t="str">
            <v>MK</v>
          </cell>
          <cell r="E828">
            <v>455000</v>
          </cell>
        </row>
        <row r="829">
          <cell r="A829">
            <v>8903287013935</v>
          </cell>
          <cell r="B829" t="str">
            <v>MK FORMOD.PRISMA/QUADRA UMARBHAI BLK CF</v>
          </cell>
          <cell r="C829" t="str">
            <v>MK</v>
          </cell>
          <cell r="D829" t="str">
            <v>MK</v>
          </cell>
          <cell r="E829">
            <v>385000</v>
          </cell>
        </row>
        <row r="830">
          <cell r="A830">
            <v>8903287013942</v>
          </cell>
          <cell r="B830" t="str">
            <v>MK FOR MOD.PRISMA/QUADRA UMARBHAI BLK CG</v>
          </cell>
          <cell r="C830" t="str">
            <v>MK</v>
          </cell>
          <cell r="D830" t="str">
            <v>MK</v>
          </cell>
          <cell r="E830">
            <v>385000</v>
          </cell>
        </row>
        <row r="831">
          <cell r="A831">
            <v>8903287014017</v>
          </cell>
          <cell r="B831" t="str">
            <v>MK MOD.LEVANT -MAIN KITCHEN UMARBHAI</v>
          </cell>
          <cell r="C831" t="str">
            <v>MK</v>
          </cell>
          <cell r="D831" t="str">
            <v>MK</v>
          </cell>
          <cell r="E831">
            <v>1669000</v>
          </cell>
        </row>
        <row r="832">
          <cell r="A832">
            <v>8903287014055</v>
          </cell>
          <cell r="B832" t="str">
            <v>MK FOR KITCHENMODD. OMINOCHERRY-MSRA.ROJ</v>
          </cell>
          <cell r="C832" t="str">
            <v>MK</v>
          </cell>
          <cell r="D832" t="str">
            <v>MK</v>
          </cell>
          <cell r="E832">
            <v>675000</v>
          </cell>
        </row>
        <row r="833">
          <cell r="A833">
            <v>8903287014321</v>
          </cell>
          <cell r="B833" t="str">
            <v>MK FOR MR. VIDISH RAO - MYSORE</v>
          </cell>
          <cell r="C833" t="str">
            <v>MK</v>
          </cell>
          <cell r="D833" t="str">
            <v>MK</v>
          </cell>
          <cell r="E833">
            <v>690000</v>
          </cell>
        </row>
        <row r="834">
          <cell r="A834">
            <v>8903287014475</v>
          </cell>
          <cell r="B834" t="str">
            <v>MK FOR LEVANTE-MR.STANLEY RAO</v>
          </cell>
          <cell r="C834" t="str">
            <v>MK</v>
          </cell>
          <cell r="D834" t="str">
            <v>MK</v>
          </cell>
          <cell r="E834">
            <v>296000</v>
          </cell>
        </row>
        <row r="835">
          <cell r="A835">
            <v>8903287014536</v>
          </cell>
          <cell r="B835" t="str">
            <v>WALL UNITS W/LIGHT</v>
          </cell>
          <cell r="C835" t="str">
            <v>MK</v>
          </cell>
          <cell r="D835" t="str">
            <v>MK</v>
          </cell>
          <cell r="E835">
            <v>225000</v>
          </cell>
        </row>
        <row r="836">
          <cell r="A836">
            <v>8903287014635</v>
          </cell>
          <cell r="B836" t="str">
            <v>MK FOR MRS. LALITHA - BANGALORE</v>
          </cell>
          <cell r="C836" t="str">
            <v>MK</v>
          </cell>
          <cell r="D836" t="str">
            <v>MK</v>
          </cell>
          <cell r="E836">
            <v>375000</v>
          </cell>
        </row>
        <row r="837">
          <cell r="A837">
            <v>8903287014697</v>
          </cell>
          <cell r="B837" t="str">
            <v>MK FOR MR VIVEK KUMAR SINGH</v>
          </cell>
          <cell r="C837" t="str">
            <v>MK</v>
          </cell>
          <cell r="D837" t="str">
            <v>MK</v>
          </cell>
          <cell r="E837">
            <v>450000</v>
          </cell>
        </row>
        <row r="838">
          <cell r="A838">
            <v>8903287014864</v>
          </cell>
          <cell r="B838" t="str">
            <v>MK FOR DR. SUNIL - BANGALORE</v>
          </cell>
          <cell r="C838" t="str">
            <v>MK</v>
          </cell>
          <cell r="D838" t="str">
            <v>MK</v>
          </cell>
          <cell r="E838">
            <v>370000</v>
          </cell>
        </row>
        <row r="839">
          <cell r="A839">
            <v>8903287014918</v>
          </cell>
          <cell r="B839" t="str">
            <v>MK FOR MR. VIKAS AHIR - GUJARAT</v>
          </cell>
          <cell r="C839" t="str">
            <v>MK</v>
          </cell>
          <cell r="D839" t="str">
            <v>MK</v>
          </cell>
          <cell r="E839">
            <v>750000</v>
          </cell>
        </row>
        <row r="840">
          <cell r="A840">
            <v>8903287014963</v>
          </cell>
          <cell r="B840" t="str">
            <v>MODULAR KITCHEN FOR MR. RAGHU</v>
          </cell>
          <cell r="C840" t="str">
            <v>MK</v>
          </cell>
          <cell r="D840" t="str">
            <v>MK</v>
          </cell>
          <cell r="E840">
            <v>320000</v>
          </cell>
        </row>
        <row r="841">
          <cell r="A841">
            <v>8903287014970</v>
          </cell>
          <cell r="B841" t="str">
            <v>MODULAR KITCHEN FOR MR. INDRONEEL GOHO</v>
          </cell>
          <cell r="C841" t="str">
            <v>MK</v>
          </cell>
          <cell r="D841" t="str">
            <v>MK</v>
          </cell>
          <cell r="E841">
            <v>266666</v>
          </cell>
        </row>
        <row r="842">
          <cell r="A842">
            <v>8903287014987</v>
          </cell>
          <cell r="B842" t="str">
            <v>MODULAR KITCHEN FOR BANGALORE SHOW ROOM</v>
          </cell>
          <cell r="C842" t="str">
            <v>MK</v>
          </cell>
          <cell r="D842" t="str">
            <v>MK</v>
          </cell>
          <cell r="E842">
            <v>516667</v>
          </cell>
        </row>
        <row r="843">
          <cell r="A843">
            <v>8903287018015</v>
          </cell>
          <cell r="B843" t="str">
            <v>MODULAR KITCHEN FOR NAYN RAHJA NEW ELMTS</v>
          </cell>
          <cell r="C843" t="str">
            <v>MK</v>
          </cell>
          <cell r="D843" t="str">
            <v>MK</v>
          </cell>
          <cell r="E843">
            <v>395000</v>
          </cell>
        </row>
        <row r="844">
          <cell r="A844">
            <v>8903287018046</v>
          </cell>
          <cell r="B844" t="str">
            <v>MODULR KITCHN-MR. PRADEEP SHARMA ALA-15</v>
          </cell>
          <cell r="C844" t="str">
            <v>MK</v>
          </cell>
          <cell r="D844" t="str">
            <v>MK</v>
          </cell>
          <cell r="E844">
            <v>720000</v>
          </cell>
        </row>
        <row r="845">
          <cell r="A845">
            <v>8903287018060</v>
          </cell>
          <cell r="B845" t="str">
            <v>MODULAR KITCHEN FOR MR.PATEL LEVANTA -16</v>
          </cell>
          <cell r="C845" t="str">
            <v>MK</v>
          </cell>
          <cell r="D845" t="str">
            <v>MK</v>
          </cell>
          <cell r="E845">
            <v>1000000</v>
          </cell>
        </row>
        <row r="846">
          <cell r="A846">
            <v>8903287018114</v>
          </cell>
          <cell r="B846" t="str">
            <v>MODULAR KITCHEN FOR MR.PHIROZE PATEL</v>
          </cell>
          <cell r="C846" t="str">
            <v>MK</v>
          </cell>
          <cell r="D846" t="str">
            <v>MK</v>
          </cell>
          <cell r="E846">
            <v>484338</v>
          </cell>
        </row>
        <row r="847">
          <cell r="A847">
            <v>8903287018121</v>
          </cell>
          <cell r="B847" t="str">
            <v>MODULAR KITCHEN FOR MRS.BANSAL</v>
          </cell>
          <cell r="C847" t="str">
            <v>MK</v>
          </cell>
          <cell r="D847" t="str">
            <v>MK</v>
          </cell>
          <cell r="E847">
            <v>700000</v>
          </cell>
        </row>
        <row r="848">
          <cell r="A848">
            <v>8903287018176</v>
          </cell>
          <cell r="B848" t="str">
            <v>MODULAR KITCHEN FOR MR. WARI</v>
          </cell>
          <cell r="C848" t="str">
            <v>MK</v>
          </cell>
          <cell r="D848" t="str">
            <v>MK</v>
          </cell>
          <cell r="E848">
            <v>289000</v>
          </cell>
        </row>
        <row r="849">
          <cell r="A849">
            <v>8903287018213</v>
          </cell>
          <cell r="B849" t="str">
            <v>MODULAR KITCHEN FOR MR. MANIKANDAN</v>
          </cell>
          <cell r="C849" t="str">
            <v>MK</v>
          </cell>
          <cell r="D849" t="str">
            <v>MK</v>
          </cell>
          <cell r="E849">
            <v>3000000</v>
          </cell>
        </row>
        <row r="850">
          <cell r="A850">
            <v>8903287018220</v>
          </cell>
          <cell r="B850" t="str">
            <v>MODULAR KITCHEN FOR MR.MANIKANDAN PANTRY</v>
          </cell>
          <cell r="C850" t="str">
            <v>MK</v>
          </cell>
          <cell r="D850" t="str">
            <v>MK</v>
          </cell>
          <cell r="E850">
            <v>730000</v>
          </cell>
        </row>
        <row r="851">
          <cell r="A851">
            <v>8903287018275</v>
          </cell>
          <cell r="B851" t="str">
            <v>MODULAR KITCHEN FOR MR.SARFARAZ AHMED</v>
          </cell>
          <cell r="C851" t="str">
            <v>MK</v>
          </cell>
          <cell r="D851" t="str">
            <v>MK</v>
          </cell>
          <cell r="E851">
            <v>310000</v>
          </cell>
        </row>
        <row r="852">
          <cell r="A852">
            <v>8903287018282</v>
          </cell>
          <cell r="B852" t="str">
            <v>MODULAR KITCHEN FOR MR.RAMESH THAKUR</v>
          </cell>
          <cell r="C852" t="str">
            <v>MK</v>
          </cell>
          <cell r="D852" t="str">
            <v>MK</v>
          </cell>
          <cell r="E852">
            <v>335000</v>
          </cell>
        </row>
        <row r="853">
          <cell r="A853">
            <v>8903287018299</v>
          </cell>
          <cell r="B853" t="str">
            <v>MODULAR KITCHEN FOR DR.ARUNA</v>
          </cell>
          <cell r="C853" t="str">
            <v>MK</v>
          </cell>
          <cell r="D853" t="str">
            <v>MK</v>
          </cell>
          <cell r="E853">
            <v>165000</v>
          </cell>
        </row>
        <row r="854">
          <cell r="A854">
            <v>8903287018336</v>
          </cell>
          <cell r="B854" t="str">
            <v>MODULAR KITCHEN FOR MR.PROBIR CHATTERJEE</v>
          </cell>
          <cell r="C854" t="str">
            <v>MK</v>
          </cell>
          <cell r="D854" t="str">
            <v>MK</v>
          </cell>
          <cell r="E854">
            <v>165000</v>
          </cell>
        </row>
        <row r="855">
          <cell r="A855">
            <v>8903287018374</v>
          </cell>
          <cell r="B855" t="str">
            <v>MK FOR MR.KISALAY RANJAN KITCHEN</v>
          </cell>
          <cell r="C855" t="str">
            <v>MK</v>
          </cell>
          <cell r="D855" t="str">
            <v>MK</v>
          </cell>
          <cell r="E855">
            <v>364257</v>
          </cell>
        </row>
        <row r="856">
          <cell r="A856">
            <v>8903287018459</v>
          </cell>
          <cell r="B856" t="str">
            <v>MODULAR KITCHEN FOR MS. KUSUMA</v>
          </cell>
          <cell r="C856" t="str">
            <v>MK</v>
          </cell>
          <cell r="D856" t="str">
            <v>MK</v>
          </cell>
          <cell r="E856">
            <v>1175000</v>
          </cell>
        </row>
        <row r="857">
          <cell r="A857">
            <v>8903287018497</v>
          </cell>
          <cell r="B857" t="str">
            <v>MODULAR KITCHEN FOR D-1 KITCHEN</v>
          </cell>
          <cell r="C857" t="str">
            <v>MK</v>
          </cell>
          <cell r="D857" t="str">
            <v>MK</v>
          </cell>
          <cell r="E857">
            <v>70000</v>
          </cell>
        </row>
        <row r="858">
          <cell r="A858">
            <v>8903287018503</v>
          </cell>
          <cell r="B858" t="str">
            <v>MODULAR KITCHEN FOR G-1 KITCHEN</v>
          </cell>
          <cell r="C858" t="str">
            <v>MK</v>
          </cell>
          <cell r="D858" t="str">
            <v>MK</v>
          </cell>
          <cell r="E858">
            <v>65000</v>
          </cell>
        </row>
        <row r="859">
          <cell r="A859">
            <v>8903287018510</v>
          </cell>
          <cell r="B859" t="str">
            <v>MODULAR KITCHEN FOR MR PHIROZE PATEL-2</v>
          </cell>
          <cell r="C859" t="str">
            <v>MK</v>
          </cell>
          <cell r="D859" t="str">
            <v>MK</v>
          </cell>
          <cell r="E859">
            <v>45000</v>
          </cell>
        </row>
        <row r="860">
          <cell r="A860">
            <v>8903287018527</v>
          </cell>
          <cell r="B860" t="str">
            <v>MODULAR KITCHEN FOR MR BALASUBRAMANIUM</v>
          </cell>
          <cell r="C860" t="str">
            <v>MK</v>
          </cell>
          <cell r="D860" t="str">
            <v>MK</v>
          </cell>
          <cell r="E860">
            <v>1032600</v>
          </cell>
        </row>
        <row r="861">
          <cell r="A861">
            <v>8903287018619</v>
          </cell>
          <cell r="B861" t="str">
            <v>DONAL GUEST KITCHEN</v>
          </cell>
          <cell r="C861" t="str">
            <v>MK</v>
          </cell>
          <cell r="D861" t="str">
            <v>MK</v>
          </cell>
          <cell r="E861">
            <v>245000</v>
          </cell>
        </row>
        <row r="862">
          <cell r="A862">
            <v>8903287018640</v>
          </cell>
          <cell r="B862" t="str">
            <v>MODULAR KITCHEN FOR DAYARAM BHAI -REV</v>
          </cell>
          <cell r="C862" t="str">
            <v>MK</v>
          </cell>
          <cell r="D862" t="str">
            <v>MK</v>
          </cell>
          <cell r="E862">
            <v>400000</v>
          </cell>
        </row>
        <row r="863">
          <cell r="A863">
            <v>8903287018657</v>
          </cell>
          <cell r="B863" t="str">
            <v>MODULAR KITCHEN FOR VALLABH PANVELKAR</v>
          </cell>
          <cell r="C863" t="str">
            <v>MK</v>
          </cell>
          <cell r="D863" t="str">
            <v>MK</v>
          </cell>
          <cell r="E863">
            <v>521199</v>
          </cell>
        </row>
        <row r="864">
          <cell r="A864">
            <v>8903287018763</v>
          </cell>
          <cell r="B864" t="str">
            <v>MODULAR KITCHEN FOR IFB POINT KOLKATA</v>
          </cell>
          <cell r="C864" t="str">
            <v>MK</v>
          </cell>
          <cell r="D864" t="str">
            <v>MK</v>
          </cell>
          <cell r="E864">
            <v>130000</v>
          </cell>
        </row>
        <row r="865">
          <cell r="A865">
            <v>8903287018770</v>
          </cell>
          <cell r="B865" t="str">
            <v>MODULAR KITCHEN IFB POINT KOLKATA-2</v>
          </cell>
          <cell r="C865" t="str">
            <v>MK</v>
          </cell>
          <cell r="D865" t="str">
            <v>MK</v>
          </cell>
          <cell r="E865">
            <v>170000</v>
          </cell>
        </row>
        <row r="866">
          <cell r="A866">
            <v>8903287018817</v>
          </cell>
          <cell r="B866" t="str">
            <v>MODULAR KITCHEN FOR GAZAL</v>
          </cell>
          <cell r="C866" t="str">
            <v>MK</v>
          </cell>
          <cell r="D866" t="str">
            <v>MK</v>
          </cell>
          <cell r="E866">
            <v>285000</v>
          </cell>
        </row>
        <row r="867">
          <cell r="A867">
            <v>8903287018831</v>
          </cell>
          <cell r="B867" t="str">
            <v>MODULAR KITCHEN FOR NESTLE OFFICE</v>
          </cell>
          <cell r="C867" t="str">
            <v>MK</v>
          </cell>
          <cell r="D867" t="str">
            <v>MK</v>
          </cell>
          <cell r="E867">
            <v>250541</v>
          </cell>
        </row>
        <row r="868">
          <cell r="A868">
            <v>8903287018954</v>
          </cell>
          <cell r="B868" t="str">
            <v>MODULAR KITCHEN FOR PRITESH DESAI</v>
          </cell>
          <cell r="C868" t="str">
            <v>MK</v>
          </cell>
          <cell r="D868" t="str">
            <v>MK</v>
          </cell>
          <cell r="E868">
            <v>990000</v>
          </cell>
        </row>
        <row r="869">
          <cell r="A869">
            <v>8903287018985</v>
          </cell>
          <cell r="B869" t="str">
            <v>MODULAR KITCHEN FOR EDGER</v>
          </cell>
          <cell r="C869" t="str">
            <v>MK</v>
          </cell>
          <cell r="D869" t="str">
            <v>MK</v>
          </cell>
          <cell r="E869">
            <v>485000</v>
          </cell>
        </row>
        <row r="870">
          <cell r="A870">
            <v>8903287018992</v>
          </cell>
          <cell r="B870" t="str">
            <v>MODULAR KITCHE FOR PRADEEP PAWAR</v>
          </cell>
          <cell r="C870" t="str">
            <v>MK</v>
          </cell>
          <cell r="D870" t="str">
            <v>MK</v>
          </cell>
          <cell r="E870">
            <v>610000</v>
          </cell>
        </row>
        <row r="871">
          <cell r="A871">
            <v>8903287019005</v>
          </cell>
          <cell r="B871" t="str">
            <v>MODULAR KITCHEN FOR SANJEEV KUMAR</v>
          </cell>
          <cell r="C871" t="str">
            <v>MK</v>
          </cell>
          <cell r="D871" t="str">
            <v>MK</v>
          </cell>
          <cell r="E871">
            <v>390800</v>
          </cell>
        </row>
        <row r="872">
          <cell r="A872">
            <v>8903287019036</v>
          </cell>
          <cell r="B872" t="str">
            <v>MODULAR KITCHEN FOR MR.MURTHY</v>
          </cell>
          <cell r="C872" t="str">
            <v>MK</v>
          </cell>
          <cell r="D872" t="str">
            <v>MK</v>
          </cell>
          <cell r="E872">
            <v>550000</v>
          </cell>
        </row>
        <row r="873">
          <cell r="A873">
            <v>8903287019081</v>
          </cell>
          <cell r="B873" t="str">
            <v>MODULAR KITCHEN MR MAITRA</v>
          </cell>
          <cell r="C873" t="str">
            <v>MK</v>
          </cell>
          <cell r="D873" t="str">
            <v>MK</v>
          </cell>
          <cell r="E873">
            <v>680000</v>
          </cell>
        </row>
        <row r="874">
          <cell r="A874">
            <v>8903287019395</v>
          </cell>
          <cell r="B874" t="str">
            <v>MODULAR KITCHEN FOR KITTU ARORA</v>
          </cell>
          <cell r="C874" t="str">
            <v>MK</v>
          </cell>
          <cell r="D874" t="str">
            <v>MK</v>
          </cell>
          <cell r="E874">
            <v>573440</v>
          </cell>
        </row>
        <row r="875">
          <cell r="A875">
            <v>8903287019425</v>
          </cell>
          <cell r="B875" t="str">
            <v>MODUAL KITCHEN FOR SANYUKTA  DESAI 7</v>
          </cell>
          <cell r="C875" t="str">
            <v>MK</v>
          </cell>
          <cell r="D875" t="str">
            <v>MK</v>
          </cell>
          <cell r="E875">
            <v>398300</v>
          </cell>
        </row>
        <row r="876">
          <cell r="A876">
            <v>8903287002145</v>
          </cell>
          <cell r="B876" t="str">
            <v>MWO 20PG3S -  (NEW CODE  8903287005145)</v>
          </cell>
          <cell r="C876" t="str">
            <v>MW</v>
          </cell>
          <cell r="D876" t="str">
            <v>MW</v>
          </cell>
          <cell r="E876">
            <v>6290</v>
          </cell>
        </row>
        <row r="877">
          <cell r="A877">
            <v>8903287005008</v>
          </cell>
          <cell r="B877" t="str">
            <v>MICROWAVE OVEN 17PM-MEC1</v>
          </cell>
          <cell r="C877" t="str">
            <v>MW</v>
          </cell>
          <cell r="D877" t="str">
            <v>MW</v>
          </cell>
          <cell r="E877">
            <v>6890</v>
          </cell>
        </row>
        <row r="878">
          <cell r="A878">
            <v>8903287005015</v>
          </cell>
          <cell r="B878" t="str">
            <v>MICROWAVE OVEN 17PM1S</v>
          </cell>
          <cell r="C878" t="str">
            <v>MW</v>
          </cell>
          <cell r="D878" t="str">
            <v>MW</v>
          </cell>
          <cell r="E878">
            <v>4300</v>
          </cell>
        </row>
        <row r="879">
          <cell r="A879">
            <v>8903287005022</v>
          </cell>
          <cell r="B879" t="str">
            <v>MICROWAVE OVEN 17PG1S</v>
          </cell>
          <cell r="C879" t="str">
            <v>MW</v>
          </cell>
          <cell r="D879" t="str">
            <v>MW</v>
          </cell>
          <cell r="E879">
            <v>4900</v>
          </cell>
        </row>
        <row r="880">
          <cell r="A880">
            <v>8903287005039</v>
          </cell>
          <cell r="B880" t="str">
            <v>MICROWAVE OVEN 20PG2S</v>
          </cell>
          <cell r="C880" t="str">
            <v>MW</v>
          </cell>
          <cell r="D880" t="str">
            <v>MW</v>
          </cell>
          <cell r="E880">
            <v>6000</v>
          </cell>
        </row>
        <row r="881">
          <cell r="A881">
            <v>8903287005046</v>
          </cell>
          <cell r="B881" t="str">
            <v>MICROWAVE OVEN 25PG1S</v>
          </cell>
          <cell r="C881" t="str">
            <v>MW</v>
          </cell>
          <cell r="D881" t="str">
            <v>MW</v>
          </cell>
          <cell r="E881">
            <v>8500</v>
          </cell>
        </row>
        <row r="882">
          <cell r="A882">
            <v>8903287005053</v>
          </cell>
          <cell r="B882" t="str">
            <v>MICROWAVE OVEN 28SGR1S</v>
          </cell>
          <cell r="C882" t="str">
            <v>MW</v>
          </cell>
          <cell r="D882" t="str">
            <v>MW</v>
          </cell>
          <cell r="E882">
            <v>9900</v>
          </cell>
        </row>
        <row r="883">
          <cell r="A883">
            <v>8903287005060</v>
          </cell>
          <cell r="B883" t="str">
            <v>MICROWAVE OVEN 22DGSC1</v>
          </cell>
          <cell r="C883" t="str">
            <v>MW</v>
          </cell>
          <cell r="D883" t="str">
            <v>MW</v>
          </cell>
          <cell r="E883">
            <v>8500</v>
          </cell>
        </row>
        <row r="884">
          <cell r="A884">
            <v>8903287005077</v>
          </cell>
          <cell r="B884" t="str">
            <v>MICROWAVE OVEN 20SC2</v>
          </cell>
          <cell r="C884" t="str">
            <v>MW</v>
          </cell>
          <cell r="D884" t="str">
            <v>MW</v>
          </cell>
          <cell r="E884">
            <v>14490</v>
          </cell>
        </row>
        <row r="885">
          <cell r="A885">
            <v>8903287005084</v>
          </cell>
          <cell r="B885" t="str">
            <v>MICROWAVE OVEN 23SC2</v>
          </cell>
          <cell r="C885" t="str">
            <v>MW</v>
          </cell>
          <cell r="D885" t="str">
            <v>MW</v>
          </cell>
          <cell r="E885">
            <v>11500</v>
          </cell>
        </row>
        <row r="886">
          <cell r="A886">
            <v>8903287005091</v>
          </cell>
          <cell r="B886" t="str">
            <v>MICROWAVE OVEN 25SC2</v>
          </cell>
          <cell r="C886" t="str">
            <v>MW</v>
          </cell>
          <cell r="D886" t="str">
            <v>MW</v>
          </cell>
          <cell r="E886">
            <v>12500</v>
          </cell>
        </row>
        <row r="887">
          <cell r="A887">
            <v>8903287005107</v>
          </cell>
          <cell r="B887" t="str">
            <v>MICROWAVE OVEN 30SC2</v>
          </cell>
          <cell r="C887" t="str">
            <v>MW</v>
          </cell>
          <cell r="D887" t="str">
            <v>MW</v>
          </cell>
          <cell r="E887">
            <v>13500</v>
          </cell>
        </row>
        <row r="888">
          <cell r="A888">
            <v>8903287005114</v>
          </cell>
          <cell r="B888" t="str">
            <v>MICROWAVE OVEN 30SRC1</v>
          </cell>
          <cell r="C888" t="str">
            <v>MW</v>
          </cell>
          <cell r="D888" t="str">
            <v>MW</v>
          </cell>
          <cell r="E888">
            <v>18000</v>
          </cell>
        </row>
        <row r="889">
          <cell r="A889">
            <v>8903287005121</v>
          </cell>
          <cell r="B889" t="str">
            <v>MICROWAVE OVEN 17PG2S</v>
          </cell>
          <cell r="C889" t="str">
            <v>MW</v>
          </cell>
          <cell r="D889" t="str">
            <v>MW</v>
          </cell>
          <cell r="E889">
            <v>7240</v>
          </cell>
        </row>
        <row r="890">
          <cell r="A890">
            <v>8903287005138</v>
          </cell>
          <cell r="B890" t="str">
            <v>MICROWAVE OVEN 20PM1S</v>
          </cell>
          <cell r="C890" t="str">
            <v>MW</v>
          </cell>
          <cell r="D890" t="str">
            <v>MW</v>
          </cell>
          <cell r="E890">
            <v>6940</v>
          </cell>
        </row>
        <row r="891">
          <cell r="A891">
            <v>8903287005145</v>
          </cell>
          <cell r="B891" t="str">
            <v>MICROWAVE OVEN 20PG3S</v>
          </cell>
          <cell r="C891" t="str">
            <v>MW</v>
          </cell>
          <cell r="D891" t="str">
            <v>MW</v>
          </cell>
          <cell r="E891">
            <v>8440</v>
          </cell>
        </row>
        <row r="892">
          <cell r="A892">
            <v>8903287005152</v>
          </cell>
          <cell r="B892" t="str">
            <v>MICROWAVE OVEN 25PG2S</v>
          </cell>
          <cell r="C892" t="str">
            <v>MW</v>
          </cell>
          <cell r="D892" t="str">
            <v>MW</v>
          </cell>
          <cell r="E892">
            <v>8950</v>
          </cell>
        </row>
        <row r="893">
          <cell r="A893">
            <v>8903287005169</v>
          </cell>
          <cell r="B893" t="str">
            <v>MICROWAVE OVEN 38SC1</v>
          </cell>
          <cell r="C893" t="str">
            <v>MW</v>
          </cell>
          <cell r="D893" t="str">
            <v>MW</v>
          </cell>
          <cell r="E893">
            <v>16000</v>
          </cell>
        </row>
        <row r="894">
          <cell r="A894">
            <v>8903287005183</v>
          </cell>
          <cell r="B894" t="str">
            <v>MICRO WAVE OVEN CONVECTION 25SC3</v>
          </cell>
          <cell r="C894" t="str">
            <v>MW</v>
          </cell>
          <cell r="D894" t="str">
            <v>MW</v>
          </cell>
          <cell r="E894">
            <v>14290</v>
          </cell>
        </row>
        <row r="895">
          <cell r="A895">
            <v>8903287005190</v>
          </cell>
          <cell r="B895" t="str">
            <v>MICRO WAVE OVEN CONVECTION 30SC3</v>
          </cell>
          <cell r="C895" t="str">
            <v>MW</v>
          </cell>
          <cell r="D895" t="str">
            <v>MW</v>
          </cell>
          <cell r="E895">
            <v>15990</v>
          </cell>
        </row>
        <row r="896">
          <cell r="A896">
            <v>8903287005206</v>
          </cell>
          <cell r="B896" t="str">
            <v>MICRO WAVE OVEN CONVECTION 20BC3</v>
          </cell>
          <cell r="C896" t="str">
            <v>MW</v>
          </cell>
          <cell r="D896" t="str">
            <v>MW</v>
          </cell>
          <cell r="E896">
            <v>12340</v>
          </cell>
        </row>
        <row r="897">
          <cell r="A897">
            <v>8903287005213</v>
          </cell>
          <cell r="B897" t="str">
            <v>MICRO WAVE OVEN CONVECTION 23SC3</v>
          </cell>
          <cell r="C897" t="str">
            <v>MW</v>
          </cell>
          <cell r="D897" t="str">
            <v>MW</v>
          </cell>
          <cell r="E897">
            <v>14990</v>
          </cell>
        </row>
        <row r="898">
          <cell r="A898">
            <v>8903287005220</v>
          </cell>
          <cell r="B898" t="str">
            <v>MICRO WAVE OVEN CONVECTION 30BRC2</v>
          </cell>
          <cell r="C898" t="str">
            <v>MW</v>
          </cell>
          <cell r="D898" t="str">
            <v>MW</v>
          </cell>
          <cell r="E898">
            <v>20390</v>
          </cell>
        </row>
        <row r="899">
          <cell r="A899">
            <v>8903287005237</v>
          </cell>
          <cell r="B899" t="str">
            <v>MICRO WAVE OVEN CONVECTION 22DGBC1</v>
          </cell>
          <cell r="C899" t="str">
            <v>MW</v>
          </cell>
          <cell r="D899" t="str">
            <v>MW</v>
          </cell>
          <cell r="E899">
            <v>8500</v>
          </cell>
        </row>
        <row r="900">
          <cell r="A900">
            <v>8903287005251</v>
          </cell>
          <cell r="B900" t="str">
            <v>MICRO WAVE OVEN 38SRC1</v>
          </cell>
          <cell r="C900" t="str">
            <v>MW</v>
          </cell>
          <cell r="D900" t="str">
            <v>MW</v>
          </cell>
          <cell r="E900">
            <v>17590</v>
          </cell>
        </row>
        <row r="901">
          <cell r="A901">
            <v>8903287005268</v>
          </cell>
          <cell r="B901" t="str">
            <v>MICRO WAVE OVEN 25BC3</v>
          </cell>
          <cell r="C901" t="str">
            <v>MW</v>
          </cell>
          <cell r="D901" t="str">
            <v>MW</v>
          </cell>
          <cell r="E901">
            <v>17490</v>
          </cell>
        </row>
        <row r="902">
          <cell r="A902">
            <v>8903287005275</v>
          </cell>
          <cell r="B902" t="str">
            <v>MICRO WAVE OVEN 23BC3</v>
          </cell>
          <cell r="C902" t="str">
            <v>MW</v>
          </cell>
          <cell r="D902" t="str">
            <v>MW</v>
          </cell>
          <cell r="E902">
            <v>14140</v>
          </cell>
        </row>
        <row r="903">
          <cell r="A903">
            <v>8903287005282</v>
          </cell>
          <cell r="B903" t="str">
            <v>MICRO WAVE OVEN 25DGSC1</v>
          </cell>
          <cell r="C903" t="str">
            <v>MW</v>
          </cell>
          <cell r="D903" t="str">
            <v>MW</v>
          </cell>
          <cell r="E903">
            <v>15690</v>
          </cell>
        </row>
        <row r="904">
          <cell r="A904">
            <v>8903287005299</v>
          </cell>
          <cell r="B904" t="str">
            <v>MICRO WAVE OVEN 25PG2B</v>
          </cell>
          <cell r="C904" t="str">
            <v>MW</v>
          </cell>
          <cell r="D904" t="str">
            <v>MW</v>
          </cell>
          <cell r="E904">
            <v>10200</v>
          </cell>
        </row>
        <row r="905">
          <cell r="A905">
            <v>8903287005305</v>
          </cell>
          <cell r="B905" t="str">
            <v>MICRO WAVE OVEN 17PG3S</v>
          </cell>
          <cell r="C905" t="str">
            <v>MW</v>
          </cell>
          <cell r="D905" t="str">
            <v>MW</v>
          </cell>
          <cell r="E905">
            <v>7690</v>
          </cell>
        </row>
        <row r="906">
          <cell r="A906">
            <v>8903287005312</v>
          </cell>
          <cell r="B906" t="str">
            <v>MICRO WAVE OVEN 23BC4</v>
          </cell>
          <cell r="C906" t="str">
            <v>MW</v>
          </cell>
          <cell r="D906" t="str">
            <v>MW</v>
          </cell>
          <cell r="E906">
            <v>16790</v>
          </cell>
        </row>
        <row r="907">
          <cell r="A907">
            <v>8903287005329</v>
          </cell>
          <cell r="B907" t="str">
            <v>MICRO WAVE OVEN 25PG3B</v>
          </cell>
          <cell r="C907" t="str">
            <v>MW</v>
          </cell>
          <cell r="D907" t="str">
            <v>MW</v>
          </cell>
          <cell r="E907">
            <v>10090</v>
          </cell>
        </row>
        <row r="908">
          <cell r="A908">
            <v>8903287005336</v>
          </cell>
          <cell r="B908" t="str">
            <v>MICRO WAVE OVEN 25BC4</v>
          </cell>
          <cell r="C908" t="str">
            <v>MW</v>
          </cell>
          <cell r="D908" t="str">
            <v>MW</v>
          </cell>
          <cell r="E908">
            <v>18690</v>
          </cell>
        </row>
        <row r="909">
          <cell r="A909">
            <v>8903287005343</v>
          </cell>
          <cell r="B909" t="str">
            <v>MICRO WAVE OVEN 30SRC2</v>
          </cell>
          <cell r="C909" t="str">
            <v>MW</v>
          </cell>
          <cell r="D909" t="str">
            <v>MW</v>
          </cell>
          <cell r="E909">
            <v>18000</v>
          </cell>
        </row>
        <row r="910">
          <cell r="A910">
            <v>8903287005350</v>
          </cell>
          <cell r="B910" t="str">
            <v>MICRO WAVE OVEN 25SC4</v>
          </cell>
          <cell r="C910" t="str">
            <v>MW</v>
          </cell>
          <cell r="D910" t="str">
            <v>MW</v>
          </cell>
          <cell r="E910">
            <v>17990</v>
          </cell>
        </row>
        <row r="911">
          <cell r="A911">
            <v>8903287005367</v>
          </cell>
          <cell r="B911" t="str">
            <v>MICRO WAVE OVEN 20BC4</v>
          </cell>
          <cell r="C911" t="str">
            <v>MW</v>
          </cell>
          <cell r="D911" t="str">
            <v>MW</v>
          </cell>
          <cell r="E911">
            <v>14390</v>
          </cell>
        </row>
        <row r="912">
          <cell r="A912">
            <v>8903287005374</v>
          </cell>
          <cell r="B912" t="str">
            <v>MICRO WAVE OVEN 30SC4</v>
          </cell>
          <cell r="C912" t="str">
            <v>MW</v>
          </cell>
          <cell r="D912" t="str">
            <v>MW</v>
          </cell>
          <cell r="E912">
            <v>18990</v>
          </cell>
        </row>
        <row r="913">
          <cell r="A913">
            <v>8903287005381</v>
          </cell>
          <cell r="B913" t="str">
            <v>MICRO WAVE OVEN 20PM2S</v>
          </cell>
          <cell r="C913" t="str">
            <v>MW</v>
          </cell>
          <cell r="D913" t="str">
            <v>MW</v>
          </cell>
          <cell r="E913">
            <v>7790</v>
          </cell>
        </row>
        <row r="914">
          <cell r="A914">
            <v>8903287005398</v>
          </cell>
          <cell r="B914" t="str">
            <v>MICRO WAVE OVEN 17PM-MEC2B</v>
          </cell>
          <cell r="C914" t="str">
            <v>MW</v>
          </cell>
          <cell r="D914" t="str">
            <v>MW</v>
          </cell>
          <cell r="E914">
            <v>6590</v>
          </cell>
        </row>
        <row r="915">
          <cell r="A915">
            <v>8903287005404</v>
          </cell>
          <cell r="B915" t="str">
            <v>MICRO WAVE OVEN 20PG4S</v>
          </cell>
          <cell r="C915" t="str">
            <v>MW</v>
          </cell>
          <cell r="D915" t="str">
            <v>MW</v>
          </cell>
          <cell r="E915">
            <v>10590</v>
          </cell>
        </row>
        <row r="916">
          <cell r="A916">
            <v>8903287005411</v>
          </cell>
          <cell r="B916" t="str">
            <v>MICRO WAVE OVEN 30FRC2</v>
          </cell>
          <cell r="C916" t="str">
            <v>MW</v>
          </cell>
          <cell r="D916" t="str">
            <v>MW</v>
          </cell>
          <cell r="E916">
            <v>20990</v>
          </cell>
        </row>
        <row r="917">
          <cell r="A917">
            <v>8903287005428</v>
          </cell>
          <cell r="B917" t="str">
            <v>MICRO WAVE OVEN 25BCSDD1</v>
          </cell>
          <cell r="C917" t="str">
            <v>MW</v>
          </cell>
          <cell r="D917" t="str">
            <v>MW</v>
          </cell>
          <cell r="E917">
            <v>18490</v>
          </cell>
        </row>
        <row r="918">
          <cell r="A918">
            <v>8903287005435</v>
          </cell>
          <cell r="B918" t="str">
            <v>MICRO WAVE OVEN 25BCS1</v>
          </cell>
          <cell r="C918" t="str">
            <v>MW</v>
          </cell>
          <cell r="D918" t="str">
            <v>MW</v>
          </cell>
          <cell r="E918">
            <v>16590</v>
          </cell>
        </row>
        <row r="919">
          <cell r="A919">
            <v>8903287005442</v>
          </cell>
          <cell r="B919" t="str">
            <v>MICRO WAVE OVEN 20PM-MEC 1</v>
          </cell>
          <cell r="C919" t="str">
            <v>MW</v>
          </cell>
          <cell r="D919" t="str">
            <v>MW</v>
          </cell>
          <cell r="E919">
            <v>5990</v>
          </cell>
        </row>
        <row r="920">
          <cell r="A920">
            <v>8903287005459</v>
          </cell>
          <cell r="B920" t="str">
            <v>MICRO WAVE OVEN 20PG-MEC 1</v>
          </cell>
          <cell r="C920" t="str">
            <v>MW</v>
          </cell>
          <cell r="D920" t="str">
            <v>MW</v>
          </cell>
          <cell r="E920">
            <v>8290</v>
          </cell>
        </row>
        <row r="921">
          <cell r="A921">
            <v>8903287005466</v>
          </cell>
          <cell r="B921" t="str">
            <v>MICRO WAVE OVEN 20SC3</v>
          </cell>
          <cell r="C921" t="str">
            <v>MW</v>
          </cell>
          <cell r="D921" t="str">
            <v>MW</v>
          </cell>
          <cell r="E921">
            <v>12490</v>
          </cell>
        </row>
        <row r="922">
          <cell r="A922">
            <v>8903287005473</v>
          </cell>
          <cell r="B922" t="str">
            <v>MICRO WAVE OVEN 34BC1</v>
          </cell>
          <cell r="C922" t="str">
            <v>MW</v>
          </cell>
          <cell r="D922" t="str">
            <v>MW</v>
          </cell>
          <cell r="E922">
            <v>27690</v>
          </cell>
        </row>
        <row r="923">
          <cell r="A923">
            <v>8903287005480</v>
          </cell>
          <cell r="B923" t="str">
            <v>MICRO WAVE OVEN 20SS2S</v>
          </cell>
          <cell r="C923" t="str">
            <v>MW</v>
          </cell>
          <cell r="D923" t="str">
            <v>MW</v>
          </cell>
          <cell r="E923">
            <v>7590</v>
          </cell>
        </row>
        <row r="924">
          <cell r="A924">
            <v>8903287005497</v>
          </cell>
          <cell r="B924" t="str">
            <v>MICRO WAVE OVEN 20SSG4S</v>
          </cell>
          <cell r="C924" t="str">
            <v>MW</v>
          </cell>
          <cell r="D924" t="str">
            <v>MW</v>
          </cell>
          <cell r="E924">
            <v>9490</v>
          </cell>
        </row>
        <row r="925">
          <cell r="A925">
            <v>8903287005510</v>
          </cell>
          <cell r="B925" t="str">
            <v>MICRO WAVE OVEN 30BRC3</v>
          </cell>
          <cell r="C925" t="str">
            <v>MW</v>
          </cell>
          <cell r="D925" t="str">
            <v>MW</v>
          </cell>
          <cell r="E925">
            <v>20490</v>
          </cell>
        </row>
        <row r="926">
          <cell r="A926">
            <v>8903287005534</v>
          </cell>
          <cell r="B926" t="str">
            <v>MICRO WAVE OVEN 20BC5</v>
          </cell>
          <cell r="C926" t="str">
            <v>MW</v>
          </cell>
          <cell r="D926" t="str">
            <v>MW</v>
          </cell>
          <cell r="E926">
            <v>16190</v>
          </cell>
        </row>
        <row r="927">
          <cell r="A927">
            <v>8903287005541</v>
          </cell>
          <cell r="B927" t="str">
            <v>MICRO WAVE OVEN 23BC5</v>
          </cell>
          <cell r="C927" t="str">
            <v>MW</v>
          </cell>
          <cell r="D927" t="str">
            <v>MW</v>
          </cell>
          <cell r="E927">
            <v>16990</v>
          </cell>
        </row>
        <row r="928">
          <cell r="A928">
            <v>8903287005565</v>
          </cell>
          <cell r="B928" t="str">
            <v>MICRO WAVE OVEN 25DGBC2</v>
          </cell>
          <cell r="C928" t="str">
            <v>MW</v>
          </cell>
          <cell r="D928" t="str">
            <v>MW</v>
          </cell>
          <cell r="E928">
            <v>18590</v>
          </cell>
        </row>
        <row r="929">
          <cell r="A929">
            <v>8903287005572</v>
          </cell>
          <cell r="B929" t="str">
            <v>MICRO WAVE OVEN 30BC5</v>
          </cell>
          <cell r="C929" t="str">
            <v>MW</v>
          </cell>
          <cell r="D929" t="str">
            <v>MW</v>
          </cell>
          <cell r="E929">
            <v>19390</v>
          </cell>
        </row>
        <row r="930">
          <cell r="A930">
            <v>8903287005589</v>
          </cell>
          <cell r="B930" t="str">
            <v>MICROWAVE OVEN 25PM2S</v>
          </cell>
          <cell r="C930" t="str">
            <v>MW</v>
          </cell>
          <cell r="D930" t="str">
            <v>MW</v>
          </cell>
          <cell r="E930">
            <v>9590</v>
          </cell>
        </row>
        <row r="931">
          <cell r="A931">
            <v>8903287005596</v>
          </cell>
          <cell r="B931" t="str">
            <v>MICRO WAVE OVEN 20PM-MEC2</v>
          </cell>
          <cell r="C931" t="str">
            <v>MW</v>
          </cell>
          <cell r="D931" t="str">
            <v>MW</v>
          </cell>
          <cell r="E931">
            <v>7390</v>
          </cell>
        </row>
        <row r="932">
          <cell r="A932">
            <v>8903287005602</v>
          </cell>
          <cell r="B932" t="str">
            <v>MICRO WAVE OVEN 20PM-MEC2B</v>
          </cell>
          <cell r="C932" t="str">
            <v>MW</v>
          </cell>
          <cell r="D932" t="str">
            <v>MW</v>
          </cell>
          <cell r="E932">
            <v>7690</v>
          </cell>
        </row>
        <row r="933">
          <cell r="A933">
            <v>8903287005640</v>
          </cell>
          <cell r="B933" t="str">
            <v>QUARTZ OVEN 28QOLCD1</v>
          </cell>
          <cell r="C933" t="str">
            <v>MW</v>
          </cell>
          <cell r="D933" t="str">
            <v>MW</v>
          </cell>
          <cell r="E933">
            <v>16990</v>
          </cell>
        </row>
        <row r="934">
          <cell r="A934">
            <v>8903287005664</v>
          </cell>
          <cell r="B934" t="str">
            <v>MICRO WAVE OVEN 28BC5</v>
          </cell>
          <cell r="C934" t="str">
            <v>MW</v>
          </cell>
          <cell r="D934" t="str">
            <v>MW</v>
          </cell>
          <cell r="E934">
            <v>18490</v>
          </cell>
        </row>
        <row r="935">
          <cell r="A935">
            <v>8903287005695</v>
          </cell>
          <cell r="B935" t="str">
            <v>MICRO WAVE OVEN 24PM2B</v>
          </cell>
          <cell r="C935" t="str">
            <v>MW</v>
          </cell>
          <cell r="D935" t="str">
            <v>MW</v>
          </cell>
          <cell r="E935">
            <v>8990</v>
          </cell>
        </row>
        <row r="936">
          <cell r="A936">
            <v>8903287005725</v>
          </cell>
          <cell r="B936" t="str">
            <v>MICRO WAVE OVEN 24PM2S</v>
          </cell>
          <cell r="C936" t="str">
            <v>MW</v>
          </cell>
          <cell r="D936" t="str">
            <v>MW</v>
          </cell>
          <cell r="E936">
            <v>8790</v>
          </cell>
        </row>
        <row r="937">
          <cell r="A937">
            <v>8903287100420</v>
          </cell>
          <cell r="B937" t="str">
            <v>OLD 1 BHOPAL MICROWAVE OVEN</v>
          </cell>
          <cell r="C937" t="str">
            <v>MW</v>
          </cell>
          <cell r="D937" t="str">
            <v>MW</v>
          </cell>
          <cell r="E937">
            <v>5500</v>
          </cell>
        </row>
        <row r="938">
          <cell r="A938" t="str">
            <v>MW911PRRBK010</v>
          </cell>
          <cell r="B938" t="str">
            <v>RECEIPE BOOK NITA MEHTA RECEIPEBOOK</v>
          </cell>
          <cell r="C938" t="str">
            <v>MW</v>
          </cell>
          <cell r="D938" t="str">
            <v>MW</v>
          </cell>
          <cell r="E938">
            <v>15</v>
          </cell>
        </row>
        <row r="939">
          <cell r="A939">
            <v>8903287710001</v>
          </cell>
          <cell r="B939" t="str">
            <v>METAL-COOL IFBDC-2132FCS</v>
          </cell>
          <cell r="C939" t="str">
            <v>REFDC</v>
          </cell>
          <cell r="D939" t="str">
            <v>REF</v>
          </cell>
          <cell r="E939">
            <v>16900</v>
          </cell>
        </row>
        <row r="940">
          <cell r="A940">
            <v>8903287710018</v>
          </cell>
          <cell r="B940" t="str">
            <v>METAL-COOL IFBDC-2132FSS</v>
          </cell>
          <cell r="C940" t="str">
            <v>REFDC</v>
          </cell>
          <cell r="D940" t="str">
            <v>REF</v>
          </cell>
          <cell r="E940">
            <v>16900</v>
          </cell>
        </row>
        <row r="941">
          <cell r="A941">
            <v>8903287710025</v>
          </cell>
          <cell r="B941" t="str">
            <v>METAL-COOL IFBDC-2132FBF</v>
          </cell>
          <cell r="C941" t="str">
            <v>REFDC</v>
          </cell>
          <cell r="D941" t="str">
            <v>REF</v>
          </cell>
          <cell r="E941">
            <v>17800</v>
          </cell>
        </row>
        <row r="942">
          <cell r="A942">
            <v>8903287710032</v>
          </cell>
          <cell r="B942" t="str">
            <v>METAL-COOL IFBDC-2132FRF</v>
          </cell>
          <cell r="C942" t="str">
            <v>REFDC</v>
          </cell>
          <cell r="D942" t="str">
            <v>REF</v>
          </cell>
          <cell r="E942">
            <v>17800</v>
          </cell>
        </row>
        <row r="943">
          <cell r="A943">
            <v>8903287710049</v>
          </cell>
          <cell r="B943" t="str">
            <v>METAL-COOL IFBDC-2133FAS</v>
          </cell>
          <cell r="C943" t="str">
            <v>REFDC</v>
          </cell>
          <cell r="D943" t="str">
            <v>REF</v>
          </cell>
          <cell r="E943">
            <v>17900</v>
          </cell>
        </row>
        <row r="944">
          <cell r="A944">
            <v>8903287710056</v>
          </cell>
          <cell r="B944" t="str">
            <v>METAL-COOL IFBDC-2133FRH</v>
          </cell>
          <cell r="C944" t="str">
            <v>REFDC</v>
          </cell>
          <cell r="D944" t="str">
            <v>REF</v>
          </cell>
          <cell r="E944">
            <v>18700</v>
          </cell>
        </row>
        <row r="945">
          <cell r="A945">
            <v>8903287710063</v>
          </cell>
          <cell r="B945" t="str">
            <v>METAL-COOL IFBDC-2133FBH</v>
          </cell>
          <cell r="C945" t="str">
            <v>REFDC</v>
          </cell>
          <cell r="D945" t="str">
            <v>REF</v>
          </cell>
          <cell r="E945">
            <v>18700</v>
          </cell>
        </row>
        <row r="946">
          <cell r="A946">
            <v>8903287710094</v>
          </cell>
          <cell r="B946" t="str">
            <v>METAL-COOL IFBDC-2133FCG</v>
          </cell>
          <cell r="C946" t="str">
            <v>REFDC</v>
          </cell>
          <cell r="D946" t="str">
            <v>REF</v>
          </cell>
          <cell r="E946">
            <v>19900</v>
          </cell>
        </row>
        <row r="947">
          <cell r="A947">
            <v>8903287710117</v>
          </cell>
          <cell r="B947" t="str">
            <v>METAL-COOL IFBDC-2232FSS</v>
          </cell>
          <cell r="C947" t="str">
            <v>REFDC</v>
          </cell>
          <cell r="D947" t="str">
            <v>REF</v>
          </cell>
          <cell r="E947">
            <v>18400</v>
          </cell>
        </row>
        <row r="948">
          <cell r="A948">
            <v>8903287710124</v>
          </cell>
          <cell r="B948" t="str">
            <v>METAL-COOL IFBDC-2232FAS</v>
          </cell>
          <cell r="C948" t="str">
            <v>REFDC</v>
          </cell>
          <cell r="D948" t="str">
            <v>REF</v>
          </cell>
          <cell r="E948">
            <v>18400</v>
          </cell>
        </row>
        <row r="949">
          <cell r="A949">
            <v>8903287710131</v>
          </cell>
          <cell r="B949" t="str">
            <v>METAL-COOL IFBDC-2232FBF</v>
          </cell>
          <cell r="C949" t="str">
            <v>REFDC</v>
          </cell>
          <cell r="D949" t="str">
            <v>REF</v>
          </cell>
          <cell r="E949">
            <v>19100</v>
          </cell>
        </row>
        <row r="950">
          <cell r="A950">
            <v>8903287710148</v>
          </cell>
          <cell r="B950" t="str">
            <v>METAL-COOL IFBDC-2232FRF</v>
          </cell>
          <cell r="C950" t="str">
            <v>REFDC</v>
          </cell>
          <cell r="D950" t="str">
            <v>REF</v>
          </cell>
          <cell r="E950">
            <v>19100</v>
          </cell>
        </row>
        <row r="951">
          <cell r="A951">
            <v>8903287710155</v>
          </cell>
          <cell r="B951" t="str">
            <v>METAL-COOL IFBDC-2233FBS</v>
          </cell>
          <cell r="C951" t="str">
            <v>REFDC</v>
          </cell>
          <cell r="D951" t="str">
            <v>REF</v>
          </cell>
          <cell r="E951">
            <v>19500</v>
          </cell>
        </row>
        <row r="952">
          <cell r="A952">
            <v>8903287710162</v>
          </cell>
          <cell r="B952" t="str">
            <v>METAL-COOL IFBDC-2233FRB</v>
          </cell>
          <cell r="C952" t="str">
            <v>REFDC</v>
          </cell>
          <cell r="D952" t="str">
            <v>REF</v>
          </cell>
          <cell r="E952">
            <v>20400</v>
          </cell>
        </row>
        <row r="953">
          <cell r="A953">
            <v>8903287710179</v>
          </cell>
          <cell r="B953" t="str">
            <v>METAL-COOL IFBDC-2233FBB</v>
          </cell>
          <cell r="C953" t="str">
            <v>REFDC</v>
          </cell>
          <cell r="D953" t="str">
            <v>REF</v>
          </cell>
          <cell r="E953">
            <v>20400</v>
          </cell>
        </row>
        <row r="954">
          <cell r="A954">
            <v>8903287710209</v>
          </cell>
          <cell r="B954" t="str">
            <v>METAL-COOL IFBDC-2233FCG</v>
          </cell>
          <cell r="C954" t="str">
            <v>REFDC</v>
          </cell>
          <cell r="D954" t="str">
            <v>REF</v>
          </cell>
          <cell r="E954">
            <v>21500</v>
          </cell>
        </row>
        <row r="955">
          <cell r="A955">
            <v>8903287710216</v>
          </cell>
          <cell r="B955" t="str">
            <v>METAL-COOL IFBDC-2322FBS</v>
          </cell>
          <cell r="C955" t="str">
            <v>REFDC</v>
          </cell>
          <cell r="D955" t="str">
            <v>REF</v>
          </cell>
          <cell r="E955">
            <v>21100</v>
          </cell>
        </row>
        <row r="956">
          <cell r="A956">
            <v>8903287710223</v>
          </cell>
          <cell r="B956" t="str">
            <v>ADVANCE-COOL IFBDC-2324IGS</v>
          </cell>
          <cell r="C956" t="str">
            <v>REFDC</v>
          </cell>
          <cell r="D956" t="str">
            <v>REF</v>
          </cell>
          <cell r="E956">
            <v>22000</v>
          </cell>
        </row>
        <row r="957">
          <cell r="A957">
            <v>8903287710247</v>
          </cell>
          <cell r="B957" t="str">
            <v>ADVANCE-COOL IFBDC-2324IKS</v>
          </cell>
          <cell r="C957" t="str">
            <v>REFDC</v>
          </cell>
          <cell r="D957" t="str">
            <v>REF</v>
          </cell>
          <cell r="E957">
            <v>22000</v>
          </cell>
        </row>
        <row r="958">
          <cell r="A958">
            <v>8903287710254</v>
          </cell>
          <cell r="B958" t="str">
            <v>ADVANCE-COOL PLUS IFBDC-2324IKSU</v>
          </cell>
          <cell r="C958" t="str">
            <v>REFDC</v>
          </cell>
          <cell r="D958" t="str">
            <v>REF</v>
          </cell>
          <cell r="E958">
            <v>24000</v>
          </cell>
        </row>
        <row r="959">
          <cell r="A959">
            <v>8903287710278</v>
          </cell>
          <cell r="B959" t="str">
            <v>ADVANCE-COOL IFBDC-2324IRV</v>
          </cell>
          <cell r="C959" t="str">
            <v>REFDC</v>
          </cell>
          <cell r="D959" t="str">
            <v>REF</v>
          </cell>
          <cell r="E959">
            <v>22900</v>
          </cell>
        </row>
        <row r="960">
          <cell r="A960">
            <v>8903287710285</v>
          </cell>
          <cell r="B960" t="str">
            <v>ADVANCE-COOL IFBDC-2324IBV</v>
          </cell>
          <cell r="C960" t="str">
            <v>REFDC</v>
          </cell>
          <cell r="D960" t="str">
            <v>REF</v>
          </cell>
          <cell r="E960">
            <v>22900</v>
          </cell>
        </row>
        <row r="961">
          <cell r="A961">
            <v>8903287710315</v>
          </cell>
          <cell r="B961" t="str">
            <v>ADVANCE-COOL IFBDC-2325IGS</v>
          </cell>
          <cell r="C961" t="str">
            <v>REFDC</v>
          </cell>
          <cell r="D961" t="str">
            <v>REF</v>
          </cell>
          <cell r="E961">
            <v>23000</v>
          </cell>
        </row>
        <row r="962">
          <cell r="A962">
            <v>8903287710322</v>
          </cell>
          <cell r="B962" t="str">
            <v>ADVANCE-COOL IFBDC-2325IRB</v>
          </cell>
          <cell r="C962" t="str">
            <v>REFDC</v>
          </cell>
          <cell r="D962" t="str">
            <v>REF</v>
          </cell>
          <cell r="E962">
            <v>23600</v>
          </cell>
        </row>
        <row r="963">
          <cell r="A963">
            <v>8903287710339</v>
          </cell>
          <cell r="B963" t="str">
            <v>ADVANCE-COOL IFBDC-2324IRG</v>
          </cell>
          <cell r="C963" t="str">
            <v>REFDC</v>
          </cell>
          <cell r="D963" t="str">
            <v>REF</v>
          </cell>
          <cell r="E963">
            <v>25700</v>
          </cell>
        </row>
        <row r="964">
          <cell r="A964">
            <v>8903287710353</v>
          </cell>
          <cell r="B964" t="str">
            <v>AI-MAGIC IFBDC-SMART2324IGSU</v>
          </cell>
          <cell r="C964" t="str">
            <v>REFDC</v>
          </cell>
          <cell r="D964" t="str">
            <v>REF</v>
          </cell>
          <cell r="E964">
            <v>25700</v>
          </cell>
        </row>
        <row r="965">
          <cell r="A965">
            <v>8903287710360</v>
          </cell>
          <cell r="B965" t="str">
            <v>AI-MAGIC IFBDC-SMART2324IRVU</v>
          </cell>
          <cell r="C965" t="str">
            <v>REFDC</v>
          </cell>
          <cell r="D965" t="str">
            <v>REF</v>
          </cell>
          <cell r="E965">
            <v>25700</v>
          </cell>
        </row>
        <row r="966">
          <cell r="A966">
            <v>8903287710377</v>
          </cell>
          <cell r="B966" t="str">
            <v>METAL-COOL IFBDC-2483FBS</v>
          </cell>
          <cell r="C966" t="str">
            <v>REFDC</v>
          </cell>
          <cell r="D966" t="str">
            <v>REF</v>
          </cell>
          <cell r="E966">
            <v>24900</v>
          </cell>
        </row>
        <row r="967">
          <cell r="A967">
            <v>8903287710384</v>
          </cell>
          <cell r="B967" t="str">
            <v>METAL-COOL IFBDC-2483FRH</v>
          </cell>
          <cell r="C967" t="str">
            <v>REFDC</v>
          </cell>
          <cell r="D967" t="str">
            <v>REF</v>
          </cell>
          <cell r="E967">
            <v>25800</v>
          </cell>
        </row>
        <row r="968">
          <cell r="A968">
            <v>8903287710391</v>
          </cell>
          <cell r="B968" t="str">
            <v>METAL-COOL IFBDC-2483FBH</v>
          </cell>
          <cell r="C968" t="str">
            <v>REFDC</v>
          </cell>
          <cell r="D968" t="str">
            <v>REF</v>
          </cell>
          <cell r="E968">
            <v>25800</v>
          </cell>
        </row>
        <row r="969">
          <cell r="A969">
            <v>8903287710407</v>
          </cell>
          <cell r="B969" t="str">
            <v>ADVANCE-COOL IFBDC-2774IGS</v>
          </cell>
          <cell r="C969" t="str">
            <v>REFDC</v>
          </cell>
          <cell r="D969" t="str">
            <v>REF</v>
          </cell>
          <cell r="E969">
            <v>27600</v>
          </cell>
        </row>
        <row r="970">
          <cell r="A970">
            <v>8903287710421</v>
          </cell>
          <cell r="B970" t="str">
            <v>ADVANCE-COOL IFBDC-2774IRV</v>
          </cell>
          <cell r="C970" t="str">
            <v>REFDC</v>
          </cell>
          <cell r="D970" t="str">
            <v>REF</v>
          </cell>
          <cell r="E970">
            <v>28200</v>
          </cell>
        </row>
        <row r="971">
          <cell r="A971">
            <v>8903287710728</v>
          </cell>
          <cell r="B971" t="str">
            <v>METAL-COOL IFBDC-2131FSS</v>
          </cell>
          <cell r="C971" t="str">
            <v>REFDC</v>
          </cell>
          <cell r="D971" t="str">
            <v>REF</v>
          </cell>
          <cell r="E971">
            <v>15500</v>
          </cell>
        </row>
        <row r="972">
          <cell r="A972">
            <v>8903287710735</v>
          </cell>
          <cell r="B972" t="str">
            <v>METAL-COOL IFBDC-2131FBF</v>
          </cell>
          <cell r="C972" t="str">
            <v>REFDC</v>
          </cell>
          <cell r="D972" t="str">
            <v>REF</v>
          </cell>
          <cell r="E972">
            <v>16400</v>
          </cell>
        </row>
        <row r="973">
          <cell r="A973">
            <v>8903287710742</v>
          </cell>
          <cell r="B973" t="str">
            <v>METAL-COOL IFBDC-2131FRF</v>
          </cell>
          <cell r="C973" t="str">
            <v>REFDC</v>
          </cell>
          <cell r="D973" t="str">
            <v>REF</v>
          </cell>
          <cell r="E973">
            <v>16400</v>
          </cell>
        </row>
        <row r="974">
          <cell r="A974">
            <v>8903287710759</v>
          </cell>
          <cell r="B974" t="str">
            <v>METAL-COOL IFBDC-2231FRF</v>
          </cell>
          <cell r="C974" t="str">
            <v>REFDC</v>
          </cell>
          <cell r="D974" t="str">
            <v>REF</v>
          </cell>
          <cell r="E974">
            <v>17700</v>
          </cell>
        </row>
        <row r="975">
          <cell r="A975">
            <v>8903287710766</v>
          </cell>
          <cell r="B975" t="str">
            <v>METAL-COOL IFBDC-2231FSS</v>
          </cell>
          <cell r="C975" t="str">
            <v>REFDC</v>
          </cell>
          <cell r="D975" t="str">
            <v>REF</v>
          </cell>
          <cell r="E975">
            <v>16900</v>
          </cell>
        </row>
        <row r="976">
          <cell r="A976">
            <v>8903287710896</v>
          </cell>
          <cell r="B976" t="str">
            <v>ADVANCE-COOL IFBDC-2325IRV</v>
          </cell>
          <cell r="C976" t="str">
            <v>REFDC</v>
          </cell>
          <cell r="D976" t="str">
            <v>REF</v>
          </cell>
          <cell r="E976">
            <v>23600</v>
          </cell>
        </row>
        <row r="977">
          <cell r="A977">
            <v>8905799101018</v>
          </cell>
          <cell r="B977" t="str">
            <v>METAL-COOL IFBDC-2132FBS</v>
          </cell>
          <cell r="C977" t="str">
            <v>REFDC</v>
          </cell>
          <cell r="D977" t="str">
            <v>REF</v>
          </cell>
          <cell r="E977">
            <v>14900</v>
          </cell>
        </row>
        <row r="978">
          <cell r="A978">
            <v>8905799101025</v>
          </cell>
          <cell r="B978" t="str">
            <v>METAL-COOL IFBDC-2132FCS</v>
          </cell>
          <cell r="C978" t="str">
            <v>REFDC</v>
          </cell>
          <cell r="D978" t="str">
            <v>REF</v>
          </cell>
          <cell r="E978">
            <v>16900</v>
          </cell>
        </row>
        <row r="979">
          <cell r="A979">
            <v>8905799101032</v>
          </cell>
          <cell r="B979" t="str">
            <v>METAL-COOL IFBDC-2132FSS</v>
          </cell>
          <cell r="C979" t="str">
            <v>REFDC</v>
          </cell>
          <cell r="D979" t="str">
            <v>REF</v>
          </cell>
          <cell r="E979">
            <v>16900</v>
          </cell>
        </row>
        <row r="980">
          <cell r="A980">
            <v>8905799101049</v>
          </cell>
          <cell r="B980" t="str">
            <v>METAL-COOL IFBDC-2132FBF</v>
          </cell>
          <cell r="C980" t="str">
            <v>REFDC</v>
          </cell>
          <cell r="D980" t="str">
            <v>REF</v>
          </cell>
          <cell r="E980">
            <v>17800</v>
          </cell>
        </row>
        <row r="981">
          <cell r="A981">
            <v>8905799101056</v>
          </cell>
          <cell r="B981" t="str">
            <v>METAL-COOL IFBDC-2132FRF</v>
          </cell>
          <cell r="C981" t="str">
            <v>REFDC</v>
          </cell>
          <cell r="D981" t="str">
            <v>REF</v>
          </cell>
          <cell r="E981">
            <v>17800</v>
          </cell>
        </row>
        <row r="982">
          <cell r="A982">
            <v>8905799101063</v>
          </cell>
          <cell r="B982" t="str">
            <v>METAL-COOL IFBDC-2133FAS</v>
          </cell>
          <cell r="C982" t="str">
            <v>REFDC</v>
          </cell>
          <cell r="D982" t="str">
            <v>REF</v>
          </cell>
          <cell r="E982">
            <v>17900</v>
          </cell>
        </row>
        <row r="983">
          <cell r="A983">
            <v>8905799101070</v>
          </cell>
          <cell r="B983" t="str">
            <v>METAL-COOL IFBDC-2133FRH</v>
          </cell>
          <cell r="C983" t="str">
            <v>REFDC</v>
          </cell>
          <cell r="D983" t="str">
            <v>REF</v>
          </cell>
          <cell r="E983">
            <v>18700</v>
          </cell>
        </row>
        <row r="984">
          <cell r="A984">
            <v>8905799101087</v>
          </cell>
          <cell r="B984" t="str">
            <v>METAL-COOL IFBDC-2133FBH</v>
          </cell>
          <cell r="C984" t="str">
            <v>REFDC</v>
          </cell>
          <cell r="D984" t="str">
            <v>REF</v>
          </cell>
          <cell r="E984">
            <v>18700</v>
          </cell>
        </row>
        <row r="985">
          <cell r="A985">
            <v>8905799101094</v>
          </cell>
          <cell r="B985" t="str">
            <v>METAL-COOL IFBDC-2133FRHD</v>
          </cell>
          <cell r="C985" t="str">
            <v>REFDC</v>
          </cell>
          <cell r="D985" t="str">
            <v>REF</v>
          </cell>
          <cell r="E985">
            <v>19800</v>
          </cell>
        </row>
        <row r="986">
          <cell r="A986">
            <v>8905799101100</v>
          </cell>
          <cell r="B986" t="str">
            <v>METAL-COOL IFBDC-2133FBHD</v>
          </cell>
          <cell r="C986" t="str">
            <v>REFDC</v>
          </cell>
          <cell r="D986" t="str">
            <v>REF</v>
          </cell>
          <cell r="E986">
            <v>19800</v>
          </cell>
        </row>
        <row r="987">
          <cell r="A987">
            <v>8905799101117</v>
          </cell>
          <cell r="B987" t="str">
            <v>METAL-COOL IFBDC-2133FCG</v>
          </cell>
          <cell r="C987" t="str">
            <v>REFDC</v>
          </cell>
          <cell r="D987" t="str">
            <v>REF</v>
          </cell>
          <cell r="E987">
            <v>19900</v>
          </cell>
        </row>
        <row r="988">
          <cell r="A988">
            <v>8905799101155</v>
          </cell>
          <cell r="B988" t="str">
            <v>METAL-COOL IFBDC-2131FSS</v>
          </cell>
          <cell r="C988" t="str">
            <v>REFDC</v>
          </cell>
          <cell r="D988" t="str">
            <v>REF</v>
          </cell>
          <cell r="E988">
            <v>15500</v>
          </cell>
        </row>
        <row r="989">
          <cell r="A989">
            <v>8905799101162</v>
          </cell>
          <cell r="B989" t="str">
            <v>METAL-COOL IFBDC-2131FBF</v>
          </cell>
          <cell r="C989" t="str">
            <v>REFDC</v>
          </cell>
          <cell r="D989" t="str">
            <v>REF</v>
          </cell>
          <cell r="E989">
            <v>16400</v>
          </cell>
        </row>
        <row r="990">
          <cell r="A990">
            <v>8905799101179</v>
          </cell>
          <cell r="B990" t="str">
            <v>METAL-COOL IFBDC-2131FRF</v>
          </cell>
          <cell r="C990" t="str">
            <v>REFDC</v>
          </cell>
          <cell r="D990" t="str">
            <v>REF</v>
          </cell>
          <cell r="E990">
            <v>16400</v>
          </cell>
        </row>
        <row r="991">
          <cell r="A991">
            <v>8905799102015</v>
          </cell>
          <cell r="B991" t="str">
            <v>METAL-COOL IFBDC-2233FBS</v>
          </cell>
          <cell r="C991" t="str">
            <v>REFDC</v>
          </cell>
          <cell r="D991" t="str">
            <v>REF</v>
          </cell>
          <cell r="E991">
            <v>19500</v>
          </cell>
        </row>
        <row r="992">
          <cell r="A992">
            <v>8905799102022</v>
          </cell>
          <cell r="B992" t="str">
            <v>METAL-COOL IFBDC-2232FSS</v>
          </cell>
          <cell r="C992" t="str">
            <v>REFDC</v>
          </cell>
          <cell r="D992" t="str">
            <v>REF</v>
          </cell>
          <cell r="E992">
            <v>18400</v>
          </cell>
        </row>
        <row r="993">
          <cell r="A993">
            <v>8905799102039</v>
          </cell>
          <cell r="B993" t="str">
            <v>METAL-COOL IFBDC-2232FAS</v>
          </cell>
          <cell r="C993" t="str">
            <v>REFDC</v>
          </cell>
          <cell r="D993" t="str">
            <v>REF</v>
          </cell>
          <cell r="E993">
            <v>18400</v>
          </cell>
        </row>
        <row r="994">
          <cell r="A994">
            <v>8905799102046</v>
          </cell>
          <cell r="B994" t="str">
            <v>METAL-COOL IFBDC-2232FBF</v>
          </cell>
          <cell r="C994" t="str">
            <v>REFDC</v>
          </cell>
          <cell r="D994" t="str">
            <v>REF</v>
          </cell>
          <cell r="E994">
            <v>19100</v>
          </cell>
        </row>
        <row r="995">
          <cell r="A995">
            <v>8905799102053</v>
          </cell>
          <cell r="B995" t="str">
            <v>METAL-COOL IFBDC-2232FRF</v>
          </cell>
          <cell r="C995" t="str">
            <v>REFDC</v>
          </cell>
          <cell r="D995" t="str">
            <v>REF</v>
          </cell>
          <cell r="E995">
            <v>19100</v>
          </cell>
        </row>
        <row r="996">
          <cell r="A996">
            <v>8905799102060</v>
          </cell>
          <cell r="B996" t="str">
            <v>METAL-COOL IFBDC-2233FRB</v>
          </cell>
          <cell r="C996" t="str">
            <v>REFDC</v>
          </cell>
          <cell r="D996" t="str">
            <v>REF</v>
          </cell>
          <cell r="E996">
            <v>20400</v>
          </cell>
        </row>
        <row r="997">
          <cell r="A997">
            <v>8905799102077</v>
          </cell>
          <cell r="B997" t="str">
            <v>METAL-COOL IFBDC-2233FBB</v>
          </cell>
          <cell r="C997" t="str">
            <v>REFDC</v>
          </cell>
          <cell r="D997" t="str">
            <v>REF</v>
          </cell>
          <cell r="E997">
            <v>20400</v>
          </cell>
        </row>
        <row r="998">
          <cell r="A998">
            <v>8905799102084</v>
          </cell>
          <cell r="B998" t="str">
            <v>METAL-COOL IFBDC-2233FRBD</v>
          </cell>
          <cell r="C998" t="str">
            <v>REFDC</v>
          </cell>
          <cell r="D998" t="str">
            <v>REF</v>
          </cell>
          <cell r="E998">
            <v>21500</v>
          </cell>
        </row>
        <row r="999">
          <cell r="A999">
            <v>8905799102091</v>
          </cell>
          <cell r="B999" t="str">
            <v>METAL-COOL IFBDC-2233FBBD</v>
          </cell>
          <cell r="C999" t="str">
            <v>REFDC</v>
          </cell>
          <cell r="D999" t="str">
            <v>REF</v>
          </cell>
          <cell r="E999">
            <v>21500</v>
          </cell>
        </row>
        <row r="1000">
          <cell r="A1000">
            <v>8905799102107</v>
          </cell>
          <cell r="B1000" t="str">
            <v>METAL-COOL IFBDC-2233FCG</v>
          </cell>
          <cell r="C1000" t="str">
            <v>REFDC</v>
          </cell>
          <cell r="D1000" t="str">
            <v>REF</v>
          </cell>
          <cell r="E1000">
            <v>21500</v>
          </cell>
        </row>
        <row r="1001">
          <cell r="A1001">
            <v>8905799102152</v>
          </cell>
          <cell r="B1001" t="str">
            <v>METAL-COOL IFBDC-2231FSS</v>
          </cell>
          <cell r="C1001" t="str">
            <v>REFDC</v>
          </cell>
          <cell r="D1001" t="str">
            <v>REF</v>
          </cell>
          <cell r="E1001">
            <v>16900</v>
          </cell>
        </row>
        <row r="1002">
          <cell r="A1002">
            <v>8905799103012</v>
          </cell>
          <cell r="B1002" t="str">
            <v>ADVANCE-COOL IFBDC-2323IBS</v>
          </cell>
          <cell r="C1002" t="str">
            <v>REFDC</v>
          </cell>
          <cell r="D1002" t="str">
            <v>REF</v>
          </cell>
          <cell r="E1002">
            <v>19100</v>
          </cell>
        </row>
        <row r="1003">
          <cell r="A1003">
            <v>8905799103029</v>
          </cell>
          <cell r="B1003" t="str">
            <v>ADVANCE-COOL PLUS IFBDC-2323IBSU</v>
          </cell>
          <cell r="C1003" t="str">
            <v>REFDC</v>
          </cell>
          <cell r="D1003" t="str">
            <v>REF</v>
          </cell>
          <cell r="E1003">
            <v>20600</v>
          </cell>
        </row>
        <row r="1004">
          <cell r="A1004">
            <v>8905799103036</v>
          </cell>
          <cell r="B1004" t="str">
            <v>METAL-COOL IFBDC-2322FBS</v>
          </cell>
          <cell r="C1004" t="str">
            <v>REFDC</v>
          </cell>
          <cell r="D1004" t="str">
            <v>REF</v>
          </cell>
          <cell r="E1004">
            <v>21100</v>
          </cell>
        </row>
        <row r="1005">
          <cell r="A1005">
            <v>8905799103043</v>
          </cell>
          <cell r="B1005" t="str">
            <v>ADVANCE-COOL IFBDC-2324IGS</v>
          </cell>
          <cell r="C1005" t="str">
            <v>REFDC</v>
          </cell>
          <cell r="D1005" t="str">
            <v>REF</v>
          </cell>
          <cell r="E1005">
            <v>22000</v>
          </cell>
        </row>
        <row r="1006">
          <cell r="A1006">
            <v>8905799103050</v>
          </cell>
          <cell r="B1006" t="str">
            <v>ADVANCE-COOL IFBDC-2324IKS</v>
          </cell>
          <cell r="C1006" t="str">
            <v>REFDC</v>
          </cell>
          <cell r="D1006" t="str">
            <v>REF</v>
          </cell>
          <cell r="E1006">
            <v>22000</v>
          </cell>
        </row>
        <row r="1007">
          <cell r="A1007">
            <v>8905799103067</v>
          </cell>
          <cell r="B1007" t="str">
            <v>ADVANCE-COOL PLUS IFBDC-2324IKSU</v>
          </cell>
          <cell r="C1007" t="str">
            <v>REFDC</v>
          </cell>
          <cell r="D1007" t="str">
            <v>REF</v>
          </cell>
          <cell r="E1007">
            <v>24000</v>
          </cell>
        </row>
        <row r="1008">
          <cell r="A1008">
            <v>8905799103074</v>
          </cell>
          <cell r="B1008" t="str">
            <v>ADVANCE-COOL IFBDC-2324IRV</v>
          </cell>
          <cell r="C1008" t="str">
            <v>REFDC</v>
          </cell>
          <cell r="D1008" t="str">
            <v>REF</v>
          </cell>
          <cell r="E1008">
            <v>22900</v>
          </cell>
        </row>
        <row r="1009">
          <cell r="A1009">
            <v>8905799103081</v>
          </cell>
          <cell r="B1009" t="str">
            <v>ADVANCE-COOL IFBDC-2324IBV</v>
          </cell>
          <cell r="C1009" t="str">
            <v>REFDC</v>
          </cell>
          <cell r="D1009" t="str">
            <v>REF</v>
          </cell>
          <cell r="E1009">
            <v>22900</v>
          </cell>
        </row>
        <row r="1010">
          <cell r="A1010">
            <v>8905799103111</v>
          </cell>
          <cell r="B1010" t="str">
            <v>ADVANCE-COOL IFBDC-2325IGS</v>
          </cell>
          <cell r="C1010" t="str">
            <v>REFDC</v>
          </cell>
          <cell r="D1010" t="str">
            <v>REF</v>
          </cell>
          <cell r="E1010">
            <v>23000</v>
          </cell>
        </row>
        <row r="1011">
          <cell r="A1011">
            <v>8905799103128</v>
          </cell>
          <cell r="B1011" t="str">
            <v>ADVANCE-COOL IFBDC-2325IRB</v>
          </cell>
          <cell r="C1011" t="str">
            <v>REFDC</v>
          </cell>
          <cell r="D1011" t="str">
            <v>REF</v>
          </cell>
          <cell r="E1011">
            <v>23600</v>
          </cell>
        </row>
        <row r="1012">
          <cell r="A1012">
            <v>8905799103135</v>
          </cell>
          <cell r="B1012" t="str">
            <v>ADVANCE-COOL IFBDC-2324IRG</v>
          </cell>
          <cell r="C1012" t="str">
            <v>REFDC</v>
          </cell>
          <cell r="D1012" t="str">
            <v>REF</v>
          </cell>
          <cell r="E1012">
            <v>25700</v>
          </cell>
        </row>
        <row r="1013">
          <cell r="A1013">
            <v>8905799103142</v>
          </cell>
          <cell r="B1013" t="str">
            <v>ADVANCE-COOL IFBDC-2325ILG</v>
          </cell>
          <cell r="C1013" t="str">
            <v>REFDC</v>
          </cell>
          <cell r="D1013" t="str">
            <v>REF</v>
          </cell>
          <cell r="E1013">
            <v>28300</v>
          </cell>
        </row>
        <row r="1014">
          <cell r="A1014">
            <v>8905799103159</v>
          </cell>
          <cell r="B1014" t="str">
            <v>AI-MAGIC IFBDC-SMART2324IGSU</v>
          </cell>
          <cell r="C1014" t="str">
            <v>REFDC</v>
          </cell>
          <cell r="D1014" t="str">
            <v>REF</v>
          </cell>
          <cell r="E1014">
            <v>25700</v>
          </cell>
        </row>
        <row r="1015">
          <cell r="A1015">
            <v>8905799103166</v>
          </cell>
          <cell r="B1015" t="str">
            <v>AI-MAGIC IFBDC-SMART2324IRVU</v>
          </cell>
          <cell r="C1015" t="str">
            <v>REFDC</v>
          </cell>
          <cell r="D1015" t="str">
            <v>REF</v>
          </cell>
          <cell r="E1015">
            <v>25700</v>
          </cell>
        </row>
        <row r="1016">
          <cell r="A1016">
            <v>8905799103197</v>
          </cell>
          <cell r="B1016" t="str">
            <v>ADVANCE-COOL IFBDC-2325IRV</v>
          </cell>
          <cell r="C1016" t="str">
            <v>REFDC</v>
          </cell>
          <cell r="D1016" t="str">
            <v>REF</v>
          </cell>
          <cell r="E1016">
            <v>23600</v>
          </cell>
        </row>
        <row r="1017">
          <cell r="A1017">
            <v>8905799104019</v>
          </cell>
          <cell r="B1017" t="str">
            <v>METAL-COOL IFBDC-2483FBS</v>
          </cell>
          <cell r="C1017" t="str">
            <v>REFDC</v>
          </cell>
          <cell r="D1017" t="str">
            <v>REF</v>
          </cell>
          <cell r="E1017">
            <v>24900</v>
          </cell>
        </row>
        <row r="1018">
          <cell r="A1018">
            <v>8905799104026</v>
          </cell>
          <cell r="B1018" t="str">
            <v>METAL-COOL IFBDC-2483FRH</v>
          </cell>
          <cell r="C1018" t="str">
            <v>REFDC</v>
          </cell>
          <cell r="D1018" t="str">
            <v>REF</v>
          </cell>
          <cell r="E1018">
            <v>25800</v>
          </cell>
        </row>
        <row r="1019">
          <cell r="A1019">
            <v>8905799104033</v>
          </cell>
          <cell r="B1019" t="str">
            <v>METAL-COOL IFBDC-2483FBH</v>
          </cell>
          <cell r="C1019" t="str">
            <v>REFDC</v>
          </cell>
          <cell r="D1019" t="str">
            <v>REF</v>
          </cell>
          <cell r="E1019">
            <v>25800</v>
          </cell>
        </row>
        <row r="1020">
          <cell r="A1020">
            <v>8905799105016</v>
          </cell>
          <cell r="B1020" t="str">
            <v>ADVANCE-COOL IFBDC-2773IBS</v>
          </cell>
          <cell r="C1020" t="str">
            <v>REFDC</v>
          </cell>
          <cell r="D1020" t="str">
            <v>REF</v>
          </cell>
          <cell r="E1020">
            <v>24900</v>
          </cell>
        </row>
        <row r="1021">
          <cell r="A1021">
            <v>8905799105023</v>
          </cell>
          <cell r="B1021" t="str">
            <v>ADVANCE-COOL IFBDC-2774IGS</v>
          </cell>
          <cell r="C1021" t="str">
            <v>REFDC</v>
          </cell>
          <cell r="D1021" t="str">
            <v>REF</v>
          </cell>
          <cell r="E1021">
            <v>27600</v>
          </cell>
        </row>
        <row r="1022">
          <cell r="A1022">
            <v>8905799105030</v>
          </cell>
          <cell r="B1022" t="str">
            <v>ADVANCE-COOL IFBDC-2774IRV</v>
          </cell>
          <cell r="C1022" t="str">
            <v>REFDC</v>
          </cell>
          <cell r="D1022" t="str">
            <v>REF</v>
          </cell>
          <cell r="E1022">
            <v>28200</v>
          </cell>
        </row>
        <row r="1023">
          <cell r="A1023">
            <v>8903287710438</v>
          </cell>
          <cell r="B1023" t="str">
            <v>SURROUND-COOL IFBFF-2902FBS</v>
          </cell>
          <cell r="C1023" t="str">
            <v>REFFF</v>
          </cell>
          <cell r="D1023" t="str">
            <v>REF</v>
          </cell>
          <cell r="E1023">
            <v>32400</v>
          </cell>
        </row>
        <row r="1024">
          <cell r="A1024">
            <v>8903287710445</v>
          </cell>
          <cell r="B1024" t="str">
            <v>SURROUND-COOL IFBFF-2902FKS</v>
          </cell>
          <cell r="C1024" t="str">
            <v>REFFF</v>
          </cell>
          <cell r="D1024" t="str">
            <v>REF</v>
          </cell>
          <cell r="E1024">
            <v>33200</v>
          </cell>
        </row>
        <row r="1025">
          <cell r="A1025">
            <v>8903287710452</v>
          </cell>
          <cell r="B1025" t="str">
            <v>SURROUND-COOL IFBFF-2902FRB</v>
          </cell>
          <cell r="C1025" t="str">
            <v>REFFF</v>
          </cell>
          <cell r="D1025" t="str">
            <v>REF</v>
          </cell>
          <cell r="E1025">
            <v>35800</v>
          </cell>
        </row>
        <row r="1026">
          <cell r="A1026">
            <v>8903287710469</v>
          </cell>
          <cell r="B1026" t="str">
            <v>SURROUND-COOL IFBFF-2902FBB</v>
          </cell>
          <cell r="C1026" t="str">
            <v>REFFF</v>
          </cell>
          <cell r="D1026" t="str">
            <v>REF</v>
          </cell>
          <cell r="E1026">
            <v>35800</v>
          </cell>
        </row>
        <row r="1027">
          <cell r="A1027">
            <v>8903287710476</v>
          </cell>
          <cell r="B1027" t="str">
            <v>SURROUND-COOL IFBFF-2902FSG</v>
          </cell>
          <cell r="C1027" t="str">
            <v>REFFF</v>
          </cell>
          <cell r="D1027" t="str">
            <v>REF</v>
          </cell>
          <cell r="E1027">
            <v>38600</v>
          </cell>
        </row>
        <row r="1028">
          <cell r="A1028">
            <v>8903287710483</v>
          </cell>
          <cell r="B1028" t="str">
            <v>ECO-COOL IFBFF-2902IGS</v>
          </cell>
          <cell r="C1028" t="str">
            <v>REFFF</v>
          </cell>
          <cell r="D1028" t="str">
            <v>REF</v>
          </cell>
          <cell r="E1028">
            <v>35500</v>
          </cell>
        </row>
        <row r="1029">
          <cell r="A1029">
            <v>8903287710506</v>
          </cell>
          <cell r="B1029" t="str">
            <v>ECO-COOL IFBFF-2902ISG</v>
          </cell>
          <cell r="C1029" t="str">
            <v>REFFF</v>
          </cell>
          <cell r="D1029" t="str">
            <v>REF</v>
          </cell>
          <cell r="E1029">
            <v>40000</v>
          </cell>
        </row>
        <row r="1030">
          <cell r="A1030">
            <v>8903287710513</v>
          </cell>
          <cell r="B1030" t="str">
            <v>EXPERT-COOL IFBFF-2913IBSU</v>
          </cell>
          <cell r="C1030" t="str">
            <v>REFFF</v>
          </cell>
          <cell r="D1030" t="str">
            <v>REF</v>
          </cell>
          <cell r="E1030">
            <v>38200</v>
          </cell>
        </row>
        <row r="1031">
          <cell r="A1031">
            <v>8903287710520</v>
          </cell>
          <cell r="B1031" t="str">
            <v>SURROUND-COOL IFBFF-3152FBS</v>
          </cell>
          <cell r="C1031" t="str">
            <v>REFFF</v>
          </cell>
          <cell r="D1031" t="str">
            <v>REF</v>
          </cell>
          <cell r="E1031">
            <v>36100</v>
          </cell>
        </row>
        <row r="1032">
          <cell r="A1032">
            <v>8903287710537</v>
          </cell>
          <cell r="B1032" t="str">
            <v>ECO-COOL IFBFF-3152IKS</v>
          </cell>
          <cell r="C1032" t="str">
            <v>REFFF</v>
          </cell>
          <cell r="D1032" t="str">
            <v>REF</v>
          </cell>
          <cell r="E1032">
            <v>38100</v>
          </cell>
        </row>
        <row r="1033">
          <cell r="A1033">
            <v>8903287710551</v>
          </cell>
          <cell r="B1033" t="str">
            <v>SURROUND-COOL IFBFF-3152FSG</v>
          </cell>
          <cell r="C1033" t="str">
            <v>REFFF</v>
          </cell>
          <cell r="D1033" t="str">
            <v>REF</v>
          </cell>
          <cell r="E1033">
            <v>42000</v>
          </cell>
        </row>
        <row r="1034">
          <cell r="A1034">
            <v>8903287710568</v>
          </cell>
          <cell r="B1034" t="str">
            <v>ECO-COOL IFBFF-3152ISG</v>
          </cell>
          <cell r="C1034" t="str">
            <v>REFFF</v>
          </cell>
          <cell r="D1034" t="str">
            <v>REF</v>
          </cell>
          <cell r="E1034">
            <v>43000</v>
          </cell>
        </row>
        <row r="1035">
          <cell r="A1035">
            <v>8903287710575</v>
          </cell>
          <cell r="B1035" t="str">
            <v>EXPERT-COOL IFBFF-3153IGSU</v>
          </cell>
          <cell r="C1035" t="str">
            <v>REFFF</v>
          </cell>
          <cell r="D1035" t="str">
            <v>REF</v>
          </cell>
          <cell r="E1035">
            <v>40700</v>
          </cell>
        </row>
        <row r="1036">
          <cell r="A1036">
            <v>8903287710599</v>
          </cell>
          <cell r="B1036" t="str">
            <v>AI-MAGIC IFBFF-SMART3153IGSU</v>
          </cell>
          <cell r="C1036" t="str">
            <v>REFFF</v>
          </cell>
          <cell r="D1036" t="str">
            <v>REF</v>
          </cell>
          <cell r="E1036">
            <v>42900</v>
          </cell>
        </row>
        <row r="1037">
          <cell r="A1037">
            <v>8903287710605</v>
          </cell>
          <cell r="B1037" t="str">
            <v>ECO-COOL IFBFF-3362IBS</v>
          </cell>
          <cell r="C1037" t="str">
            <v>REFFF</v>
          </cell>
          <cell r="D1037" t="str">
            <v>REF</v>
          </cell>
          <cell r="E1037">
            <v>43800</v>
          </cell>
        </row>
        <row r="1038">
          <cell r="A1038">
            <v>8903287710612</v>
          </cell>
          <cell r="B1038" t="str">
            <v>EXPERT-COOL IFBFF-3363IGSU</v>
          </cell>
          <cell r="C1038" t="str">
            <v>REFFF</v>
          </cell>
          <cell r="D1038" t="str">
            <v>REF</v>
          </cell>
          <cell r="E1038">
            <v>48400</v>
          </cell>
        </row>
        <row r="1039">
          <cell r="A1039">
            <v>8903287710629</v>
          </cell>
          <cell r="B1039" t="str">
            <v>EXPERT-COOL IFBFF-3363IMSU</v>
          </cell>
          <cell r="C1039" t="str">
            <v>REFFF</v>
          </cell>
          <cell r="D1039" t="str">
            <v>REF</v>
          </cell>
          <cell r="E1039">
            <v>48400</v>
          </cell>
        </row>
        <row r="1040">
          <cell r="A1040">
            <v>8903287710636</v>
          </cell>
          <cell r="B1040" t="str">
            <v>ECO-COOL IFBFF-3362ISG</v>
          </cell>
          <cell r="C1040" t="str">
            <v>REFFF</v>
          </cell>
          <cell r="D1040" t="str">
            <v>REF</v>
          </cell>
          <cell r="E1040">
            <v>48400</v>
          </cell>
        </row>
        <row r="1041">
          <cell r="A1041">
            <v>8903287710643</v>
          </cell>
          <cell r="B1041" t="str">
            <v>ECO-COOL IFBFF-3362IRG</v>
          </cell>
          <cell r="C1041" t="str">
            <v>REFFF</v>
          </cell>
          <cell r="D1041" t="str">
            <v>REF</v>
          </cell>
          <cell r="E1041">
            <v>51900</v>
          </cell>
        </row>
        <row r="1042">
          <cell r="A1042">
            <v>8903287710650</v>
          </cell>
          <cell r="B1042" t="str">
            <v>EXPERT-COOL IFBFF-3364IKSU</v>
          </cell>
          <cell r="C1042" t="str">
            <v>REFFF</v>
          </cell>
          <cell r="D1042" t="str">
            <v>REF</v>
          </cell>
          <cell r="E1042">
            <v>53000</v>
          </cell>
        </row>
        <row r="1043">
          <cell r="A1043">
            <v>8903287710674</v>
          </cell>
          <cell r="B1043" t="str">
            <v>AI-MAGIC IFBFF-SMART3363IMSU</v>
          </cell>
          <cell r="C1043" t="str">
            <v>REFFF</v>
          </cell>
          <cell r="D1043" t="str">
            <v>REF</v>
          </cell>
          <cell r="E1043">
            <v>53000</v>
          </cell>
        </row>
        <row r="1044">
          <cell r="A1044">
            <v>8903287710773</v>
          </cell>
          <cell r="B1044" t="str">
            <v>ICE-COOL IFBFF-2911FBS</v>
          </cell>
          <cell r="C1044" t="str">
            <v>REFFF</v>
          </cell>
          <cell r="D1044" t="str">
            <v>REF</v>
          </cell>
          <cell r="E1044">
            <v>29500</v>
          </cell>
        </row>
        <row r="1045">
          <cell r="A1045">
            <v>8903287710780</v>
          </cell>
          <cell r="B1045" t="str">
            <v>ICE-COOL IFBFF-2911FKS</v>
          </cell>
          <cell r="C1045" t="str">
            <v>REFFF</v>
          </cell>
          <cell r="D1045" t="str">
            <v>REF</v>
          </cell>
          <cell r="E1045">
            <v>30400</v>
          </cell>
        </row>
        <row r="1046">
          <cell r="A1046">
            <v>8903287710872</v>
          </cell>
          <cell r="B1046" t="str">
            <v>ECO-COOL IFBFF-2902IRG</v>
          </cell>
          <cell r="C1046" t="str">
            <v>REFFF</v>
          </cell>
          <cell r="D1046" t="str">
            <v>REF</v>
          </cell>
          <cell r="E1046">
            <v>40000</v>
          </cell>
        </row>
        <row r="1047">
          <cell r="A1047">
            <v>8905799206010</v>
          </cell>
          <cell r="B1047" t="str">
            <v>SURROUND-COOL IFBFF-2902FBS</v>
          </cell>
          <cell r="C1047" t="str">
            <v>REFFF</v>
          </cell>
          <cell r="D1047" t="str">
            <v>REF</v>
          </cell>
          <cell r="E1047">
            <v>32400</v>
          </cell>
        </row>
        <row r="1048">
          <cell r="A1048">
            <v>8905799206027</v>
          </cell>
          <cell r="B1048" t="str">
            <v>EXPERT-COOL IFBFF-2913IBSU</v>
          </cell>
          <cell r="C1048" t="str">
            <v>REFFF</v>
          </cell>
          <cell r="D1048" t="str">
            <v>REF</v>
          </cell>
          <cell r="E1048">
            <v>38200</v>
          </cell>
        </row>
        <row r="1049">
          <cell r="A1049">
            <v>8905799206034</v>
          </cell>
          <cell r="B1049" t="str">
            <v>SURROUND-COOL IFBFF-2902FKS</v>
          </cell>
          <cell r="C1049" t="str">
            <v>REFFF</v>
          </cell>
          <cell r="D1049" t="str">
            <v>REF</v>
          </cell>
          <cell r="E1049">
            <v>33200</v>
          </cell>
        </row>
        <row r="1050">
          <cell r="A1050">
            <v>8905799206041</v>
          </cell>
          <cell r="B1050" t="str">
            <v>SURROUND-COOL IFBFF-2902FRB</v>
          </cell>
          <cell r="C1050" t="str">
            <v>REFFF</v>
          </cell>
          <cell r="D1050" t="str">
            <v>REF</v>
          </cell>
          <cell r="E1050">
            <v>35800</v>
          </cell>
        </row>
        <row r="1051">
          <cell r="A1051">
            <v>8905799206058</v>
          </cell>
          <cell r="B1051" t="str">
            <v>SURROUND-COOL IFBFF-2902FBB</v>
          </cell>
          <cell r="C1051" t="str">
            <v>REFFF</v>
          </cell>
          <cell r="D1051" t="str">
            <v>REF</v>
          </cell>
          <cell r="E1051">
            <v>35800</v>
          </cell>
        </row>
        <row r="1052">
          <cell r="A1052">
            <v>8905799206065</v>
          </cell>
          <cell r="B1052" t="str">
            <v>SURROUND-COOL IFBFF-2902FSG</v>
          </cell>
          <cell r="C1052" t="str">
            <v>REFFF</v>
          </cell>
          <cell r="D1052" t="str">
            <v>REF</v>
          </cell>
          <cell r="E1052">
            <v>38600</v>
          </cell>
        </row>
        <row r="1053">
          <cell r="A1053">
            <v>8905799206072</v>
          </cell>
          <cell r="B1053" t="str">
            <v>ECO-COOL IFBFF-2902IGS</v>
          </cell>
          <cell r="C1053" t="str">
            <v>REFFF</v>
          </cell>
          <cell r="D1053" t="str">
            <v>REF</v>
          </cell>
          <cell r="E1053">
            <v>35500</v>
          </cell>
        </row>
        <row r="1054">
          <cell r="A1054">
            <v>8905799206089</v>
          </cell>
          <cell r="B1054" t="str">
            <v>ECO-COOL IFBFF-2902ISG</v>
          </cell>
          <cell r="C1054" t="str">
            <v>REFFF</v>
          </cell>
          <cell r="D1054" t="str">
            <v>REF</v>
          </cell>
          <cell r="E1054">
            <v>43000</v>
          </cell>
        </row>
        <row r="1055">
          <cell r="A1055">
            <v>8905799206096</v>
          </cell>
          <cell r="B1055" t="str">
            <v>ECO-COOL IFBFF-2902IBS</v>
          </cell>
          <cell r="C1055" t="str">
            <v>REFFF</v>
          </cell>
          <cell r="D1055" t="str">
            <v>REF</v>
          </cell>
          <cell r="E1055">
            <v>33400</v>
          </cell>
        </row>
        <row r="1056">
          <cell r="A1056">
            <v>8905799206126</v>
          </cell>
          <cell r="B1056" t="str">
            <v>ICE-COOL IFBFF-2911FBS</v>
          </cell>
          <cell r="C1056" t="str">
            <v>REFFF</v>
          </cell>
          <cell r="D1056" t="str">
            <v>REF</v>
          </cell>
          <cell r="E1056">
            <v>29500</v>
          </cell>
        </row>
        <row r="1057">
          <cell r="A1057">
            <v>8905799206133</v>
          </cell>
          <cell r="B1057" t="str">
            <v>ICE-COOL IFBFF-2911FKS</v>
          </cell>
          <cell r="C1057" t="str">
            <v>REFFF</v>
          </cell>
          <cell r="D1057" t="str">
            <v>REF</v>
          </cell>
          <cell r="E1057">
            <v>30400</v>
          </cell>
        </row>
        <row r="1058">
          <cell r="A1058">
            <v>8905799206140</v>
          </cell>
          <cell r="B1058" t="str">
            <v>ECO-COOL IFBFF-2902IRG</v>
          </cell>
          <cell r="C1058" t="str">
            <v>REFFF</v>
          </cell>
          <cell r="D1058" t="str">
            <v>REF</v>
          </cell>
          <cell r="E1058">
            <v>40000</v>
          </cell>
        </row>
        <row r="1059">
          <cell r="A1059">
            <v>8905799207017</v>
          </cell>
          <cell r="B1059" t="str">
            <v>ECO-COOL IFBFF-3152IBS</v>
          </cell>
          <cell r="C1059" t="str">
            <v>REFFF</v>
          </cell>
          <cell r="D1059" t="str">
            <v>REF</v>
          </cell>
          <cell r="E1059">
            <v>38100</v>
          </cell>
        </row>
        <row r="1060">
          <cell r="A1060">
            <v>8905799207024</v>
          </cell>
          <cell r="B1060" t="str">
            <v>SURROUND-COOL IFBFF-3152FBS</v>
          </cell>
          <cell r="C1060" t="str">
            <v>REFFF</v>
          </cell>
          <cell r="D1060" t="str">
            <v>REF</v>
          </cell>
          <cell r="E1060">
            <v>36100</v>
          </cell>
        </row>
        <row r="1061">
          <cell r="A1061">
            <v>8905799207031</v>
          </cell>
          <cell r="B1061" t="str">
            <v>ECO-COOL IFBFF-3152IKS</v>
          </cell>
          <cell r="C1061" t="str">
            <v>REFFF</v>
          </cell>
          <cell r="D1061" t="str">
            <v>REF</v>
          </cell>
          <cell r="E1061">
            <v>38100</v>
          </cell>
        </row>
        <row r="1062">
          <cell r="A1062">
            <v>8905799207062</v>
          </cell>
          <cell r="B1062" t="str">
            <v>EXPERT-COOL IFBFF-3153IGSU</v>
          </cell>
          <cell r="C1062" t="str">
            <v>REFFF</v>
          </cell>
          <cell r="D1062" t="str">
            <v>REF</v>
          </cell>
          <cell r="E1062">
            <v>40700</v>
          </cell>
        </row>
        <row r="1063">
          <cell r="A1063">
            <v>8905799207079</v>
          </cell>
          <cell r="B1063" t="str">
            <v>AI-MAGIC IFBFF-SMART3153IGSU</v>
          </cell>
          <cell r="C1063" t="str">
            <v>REFFF</v>
          </cell>
          <cell r="D1063" t="str">
            <v>REF</v>
          </cell>
          <cell r="E1063">
            <v>42900</v>
          </cell>
        </row>
        <row r="1064">
          <cell r="A1064">
            <v>8905799207086</v>
          </cell>
          <cell r="B1064" t="str">
            <v>EXPERT-COOL IFBFF-3153IBSU</v>
          </cell>
          <cell r="C1064" t="str">
            <v>REFFF</v>
          </cell>
          <cell r="D1064" t="str">
            <v>REF</v>
          </cell>
          <cell r="E1064">
            <v>35800</v>
          </cell>
        </row>
        <row r="1065">
          <cell r="A1065">
            <v>8905799208014</v>
          </cell>
          <cell r="B1065" t="str">
            <v>EXPERT-COOL IFBFF-3363IGSU</v>
          </cell>
          <cell r="C1065" t="str">
            <v>REFFF</v>
          </cell>
          <cell r="D1065" t="str">
            <v>REF</v>
          </cell>
          <cell r="E1065">
            <v>48400</v>
          </cell>
        </row>
        <row r="1066">
          <cell r="A1066">
            <v>8905799208021</v>
          </cell>
          <cell r="B1066" t="str">
            <v>ECO-COOL IFBFF-3362IBS</v>
          </cell>
          <cell r="C1066" t="str">
            <v>REFFF</v>
          </cell>
          <cell r="D1066" t="str">
            <v>REF</v>
          </cell>
          <cell r="E1066">
            <v>43800</v>
          </cell>
        </row>
        <row r="1067">
          <cell r="A1067">
            <v>8905799208038</v>
          </cell>
          <cell r="B1067" t="str">
            <v>EXPERT-COOL IFBFF-3363IMSU</v>
          </cell>
          <cell r="C1067" t="str">
            <v>REFFF</v>
          </cell>
          <cell r="D1067" t="str">
            <v>REF</v>
          </cell>
          <cell r="E1067">
            <v>48400</v>
          </cell>
        </row>
        <row r="1068">
          <cell r="A1068">
            <v>8905799208076</v>
          </cell>
          <cell r="B1068" t="str">
            <v>AI-MAGIC IFBFF-SMART3363IMSU</v>
          </cell>
          <cell r="C1068" t="str">
            <v>REFFF</v>
          </cell>
          <cell r="D1068" t="str">
            <v>REF</v>
          </cell>
          <cell r="E1068">
            <v>53000</v>
          </cell>
        </row>
        <row r="1069">
          <cell r="A1069">
            <v>8903287015007</v>
          </cell>
          <cell r="B1069" t="str">
            <v>REFRIGERATOR  RFFT600-EDNDBL</v>
          </cell>
          <cell r="C1069" t="str">
            <v>REFRG</v>
          </cell>
          <cell r="D1069" t="str">
            <v>REF</v>
          </cell>
          <cell r="E1069">
            <v>95000</v>
          </cell>
        </row>
        <row r="1070">
          <cell r="A1070">
            <v>8903287015014</v>
          </cell>
          <cell r="B1070" t="str">
            <v>REFRIGERATOR GT640STILT WITHWATER DSPNSR</v>
          </cell>
          <cell r="C1070" t="str">
            <v>REFRG</v>
          </cell>
          <cell r="D1070" t="str">
            <v>REF</v>
          </cell>
          <cell r="E1070">
            <v>61500</v>
          </cell>
        </row>
        <row r="1071">
          <cell r="A1071">
            <v>8903287015038</v>
          </cell>
          <cell r="B1071" t="str">
            <v>REFRIGERATOR  RFFB489-EDWDLS</v>
          </cell>
          <cell r="C1071" t="str">
            <v>REFRG</v>
          </cell>
          <cell r="D1071" t="str">
            <v>REF</v>
          </cell>
          <cell r="E1071">
            <v>63000</v>
          </cell>
        </row>
        <row r="1072">
          <cell r="A1072">
            <v>8903287015045</v>
          </cell>
          <cell r="B1072" t="str">
            <v>REFRIGERATOR  RFFB400-EDWDLS</v>
          </cell>
          <cell r="C1072" t="str">
            <v>REFRG</v>
          </cell>
          <cell r="D1072" t="str">
            <v>REF</v>
          </cell>
          <cell r="E1072">
            <v>52500</v>
          </cell>
        </row>
        <row r="1073">
          <cell r="A1073">
            <v>8903287015052</v>
          </cell>
          <cell r="B1073" t="str">
            <v>REFRIGERATOR  RFFT485-EDWDLS</v>
          </cell>
          <cell r="C1073" t="str">
            <v>REFRG</v>
          </cell>
          <cell r="D1073" t="str">
            <v>REF</v>
          </cell>
          <cell r="E1073">
            <v>57000</v>
          </cell>
        </row>
        <row r="1074">
          <cell r="A1074">
            <v>8903287015076</v>
          </cell>
          <cell r="B1074" t="str">
            <v>REFRIGERATOR  RFFT446-EDWDLS</v>
          </cell>
          <cell r="C1074" t="str">
            <v>REFRG</v>
          </cell>
          <cell r="D1074" t="str">
            <v>REF</v>
          </cell>
          <cell r="E1074">
            <v>51000</v>
          </cell>
        </row>
        <row r="1075">
          <cell r="A1075">
            <v>8903287015090</v>
          </cell>
          <cell r="B1075" t="str">
            <v>REFRIGERATOR MRF-410W(DARK VCM SILVER)</v>
          </cell>
          <cell r="C1075" t="str">
            <v>REFRG</v>
          </cell>
          <cell r="D1075" t="str">
            <v>REF</v>
          </cell>
          <cell r="E1075">
            <v>58500</v>
          </cell>
        </row>
        <row r="1076">
          <cell r="A1076">
            <v>8903287015106</v>
          </cell>
          <cell r="B1076" t="str">
            <v>REFRIGERATOR MRF-360W (WHITE)</v>
          </cell>
          <cell r="C1076" t="str">
            <v>REFRG</v>
          </cell>
          <cell r="D1076" t="str">
            <v>REF</v>
          </cell>
          <cell r="E1076">
            <v>45500</v>
          </cell>
        </row>
        <row r="1077">
          <cell r="A1077">
            <v>8903287015168</v>
          </cell>
          <cell r="B1077" t="str">
            <v>REFRIGERATOR  RFFBM701-EDNDLS</v>
          </cell>
          <cell r="C1077" t="str">
            <v>REFRG</v>
          </cell>
          <cell r="D1077" t="str">
            <v>REF</v>
          </cell>
          <cell r="E1077">
            <v>70000</v>
          </cell>
        </row>
        <row r="1078">
          <cell r="A1078">
            <v>8903287015175</v>
          </cell>
          <cell r="B1078" t="str">
            <v>REFRIGERATOR MRF 320W(VCM SLIVER)</v>
          </cell>
          <cell r="C1078" t="str">
            <v>REFRG</v>
          </cell>
          <cell r="D1078" t="str">
            <v>REF</v>
          </cell>
          <cell r="E1078">
            <v>27000</v>
          </cell>
        </row>
        <row r="1079">
          <cell r="A1079">
            <v>8903287015182</v>
          </cell>
          <cell r="B1079" t="str">
            <v>REFRIGERATOR MRF 280W(VCM SLIVER)</v>
          </cell>
          <cell r="C1079" t="str">
            <v>REFRG</v>
          </cell>
          <cell r="D1079" t="str">
            <v>REF</v>
          </cell>
          <cell r="E1079">
            <v>23760</v>
          </cell>
        </row>
        <row r="1080">
          <cell r="A1080">
            <v>8903287015199</v>
          </cell>
          <cell r="B1080" t="str">
            <v>REFRIGERATOR MRF 255W(WHITE)</v>
          </cell>
          <cell r="C1080" t="str">
            <v>REFRG</v>
          </cell>
          <cell r="D1080" t="str">
            <v>REF</v>
          </cell>
          <cell r="E1080">
            <v>20520</v>
          </cell>
        </row>
        <row r="1081">
          <cell r="A1081">
            <v>8903287015205</v>
          </cell>
          <cell r="B1081" t="str">
            <v>REFRIGERATOR MRF 228W(WHITE)</v>
          </cell>
          <cell r="C1081" t="str">
            <v>REFRG</v>
          </cell>
          <cell r="D1081" t="str">
            <v>REF</v>
          </cell>
          <cell r="E1081">
            <v>15000</v>
          </cell>
        </row>
        <row r="1082">
          <cell r="A1082">
            <v>8903287015212</v>
          </cell>
          <cell r="B1082" t="str">
            <v>REFRIGERATOR  RFFT526-EDWDLS</v>
          </cell>
          <cell r="C1082" t="str">
            <v>REFRG</v>
          </cell>
          <cell r="D1082" t="str">
            <v>REF</v>
          </cell>
          <cell r="E1082">
            <v>59500</v>
          </cell>
        </row>
        <row r="1083">
          <cell r="A1083">
            <v>8903287015229</v>
          </cell>
          <cell r="B1083" t="str">
            <v>REFRIGERATOR  RFFT435-NDNDLS</v>
          </cell>
          <cell r="C1083" t="str">
            <v>REFRG</v>
          </cell>
          <cell r="D1083" t="str">
            <v>REF</v>
          </cell>
          <cell r="E1083">
            <v>53500</v>
          </cell>
        </row>
        <row r="1084">
          <cell r="A1084">
            <v>8903287015243</v>
          </cell>
          <cell r="B1084" t="str">
            <v>REFRIGERATOR  RFFB360-EDNDLS</v>
          </cell>
          <cell r="C1084" t="str">
            <v>REFRG</v>
          </cell>
          <cell r="D1084" t="str">
            <v>REF</v>
          </cell>
          <cell r="E1084">
            <v>44500</v>
          </cell>
        </row>
        <row r="1085">
          <cell r="A1085">
            <v>8903287015250</v>
          </cell>
          <cell r="B1085" t="str">
            <v>REFRIGERATOR  RFFB330-EDNDLS</v>
          </cell>
          <cell r="C1085" t="str">
            <v>REFRG</v>
          </cell>
          <cell r="D1085" t="str">
            <v>REF</v>
          </cell>
          <cell r="E1085">
            <v>42000</v>
          </cell>
        </row>
        <row r="1086">
          <cell r="A1086">
            <v>8903287015267</v>
          </cell>
          <cell r="B1086" t="str">
            <v>REFRIGERATOR  RFFT446-EDWDPW</v>
          </cell>
          <cell r="C1086" t="str">
            <v>REFRG</v>
          </cell>
          <cell r="D1086" t="str">
            <v>REF</v>
          </cell>
          <cell r="E1086">
            <v>49900</v>
          </cell>
        </row>
        <row r="1087">
          <cell r="A1087">
            <v>8903287015274</v>
          </cell>
          <cell r="B1087" t="str">
            <v>REFRIGERATOR  RFFT485-EDWDPW</v>
          </cell>
          <cell r="C1087" t="str">
            <v>REFRG</v>
          </cell>
          <cell r="D1087" t="str">
            <v>REF</v>
          </cell>
          <cell r="E1087">
            <v>55800</v>
          </cell>
        </row>
        <row r="1088">
          <cell r="A1088">
            <v>8903287015281</v>
          </cell>
          <cell r="B1088" t="str">
            <v>REFRIGERATOR  RFFT526-EDWDPW</v>
          </cell>
          <cell r="C1088" t="str">
            <v>REFRG</v>
          </cell>
          <cell r="D1088" t="str">
            <v>REF</v>
          </cell>
          <cell r="E1088">
            <v>58300</v>
          </cell>
        </row>
        <row r="1089">
          <cell r="A1089">
            <v>8903287015298</v>
          </cell>
          <cell r="B1089" t="str">
            <v>REFRIGERATOR  RFFB400-EDWDPW</v>
          </cell>
          <cell r="C1089" t="str">
            <v>REFRG</v>
          </cell>
          <cell r="D1089" t="str">
            <v>REF</v>
          </cell>
          <cell r="E1089">
            <v>51400</v>
          </cell>
        </row>
        <row r="1090">
          <cell r="A1090">
            <v>8903287015304</v>
          </cell>
          <cell r="B1090" t="str">
            <v>REFRIGERATOR 180L,DC,GLASS DOOR,CHERRY R</v>
          </cell>
          <cell r="C1090" t="str">
            <v>REFRG</v>
          </cell>
          <cell r="D1090" t="str">
            <v>REF</v>
          </cell>
          <cell r="E1090">
            <v>17490</v>
          </cell>
        </row>
        <row r="1091">
          <cell r="A1091">
            <v>8903287015328</v>
          </cell>
          <cell r="B1091" t="str">
            <v>REFRIGERATOR 240L,FF,GLASS DOOR, MIDNIGH</v>
          </cell>
          <cell r="C1091" t="str">
            <v>REFRG</v>
          </cell>
          <cell r="D1091" t="str">
            <v>REF</v>
          </cell>
          <cell r="E1091">
            <v>28000</v>
          </cell>
        </row>
        <row r="1092">
          <cell r="A1092">
            <v>8903287015335</v>
          </cell>
          <cell r="B1092" t="str">
            <v>REFRIGERATOR 240L,FF,GLASS DOOR,ROYAL PU</v>
          </cell>
          <cell r="C1092" t="str">
            <v>REFRG</v>
          </cell>
          <cell r="D1092" t="str">
            <v>REF</v>
          </cell>
          <cell r="E1092">
            <v>28000</v>
          </cell>
        </row>
        <row r="1093">
          <cell r="A1093">
            <v>8903287015359</v>
          </cell>
          <cell r="B1093" t="str">
            <v>REFRIGERATOR 197L,DC,METAL DOOR,SILKY SI</v>
          </cell>
          <cell r="C1093" t="str">
            <v>REFRG</v>
          </cell>
          <cell r="D1093" t="str">
            <v>REF</v>
          </cell>
          <cell r="E1093">
            <v>18500</v>
          </cell>
        </row>
        <row r="1094">
          <cell r="A1094">
            <v>8903287015366</v>
          </cell>
          <cell r="B1094" t="str">
            <v>REFRIGERATOR- RFFB 370EDNDPW</v>
          </cell>
          <cell r="C1094" t="str">
            <v>REFRG</v>
          </cell>
          <cell r="D1094" t="str">
            <v>REF</v>
          </cell>
          <cell r="E1094">
            <v>43500</v>
          </cell>
        </row>
        <row r="1095">
          <cell r="A1095">
            <v>8903287015373</v>
          </cell>
          <cell r="B1095" t="str">
            <v>REFRIGERATOR -RFFB 335EDNDLS</v>
          </cell>
          <cell r="C1095" t="str">
            <v>REFRG</v>
          </cell>
          <cell r="D1095" t="str">
            <v>REF</v>
          </cell>
          <cell r="E1095">
            <v>47700</v>
          </cell>
        </row>
        <row r="1096">
          <cell r="A1096">
            <v>8903287015380</v>
          </cell>
          <cell r="B1096" t="str">
            <v>REFRIGERATOR -RFFB 335EDNDPW</v>
          </cell>
          <cell r="C1096" t="str">
            <v>REFRG</v>
          </cell>
          <cell r="D1096" t="str">
            <v>REF</v>
          </cell>
          <cell r="E1096">
            <v>41000</v>
          </cell>
        </row>
        <row r="1097">
          <cell r="A1097">
            <v>8903287015397</v>
          </cell>
          <cell r="B1097" t="str">
            <v>REFRIGERATOR- RFFB 370EDNDLS</v>
          </cell>
          <cell r="C1097" t="str">
            <v>REFRG</v>
          </cell>
          <cell r="D1097" t="str">
            <v>REF</v>
          </cell>
          <cell r="E1097">
            <v>50800</v>
          </cell>
        </row>
        <row r="1098">
          <cell r="A1098">
            <v>8903287015403</v>
          </cell>
          <cell r="B1098" t="str">
            <v>REFRIGERATOR-RFFB510-EDWDLS</v>
          </cell>
          <cell r="C1098" t="str">
            <v>REFRG</v>
          </cell>
          <cell r="D1098" t="str">
            <v>REF</v>
          </cell>
          <cell r="E1098">
            <v>63000</v>
          </cell>
        </row>
        <row r="1099">
          <cell r="A1099">
            <v>8903287015410</v>
          </cell>
          <cell r="B1099" t="str">
            <v>REFRIGERATOR-RFFB510-EDWDPW</v>
          </cell>
          <cell r="C1099" t="str">
            <v>REFRG</v>
          </cell>
          <cell r="D1099" t="str">
            <v>REF</v>
          </cell>
          <cell r="E1099">
            <v>61800</v>
          </cell>
        </row>
        <row r="1100">
          <cell r="A1100">
            <v>8903287015434</v>
          </cell>
          <cell r="B1100" t="str">
            <v>REFRIGERATOR RFFT380-EDNDES</v>
          </cell>
          <cell r="C1100" t="str">
            <v>REFRG</v>
          </cell>
          <cell r="D1100" t="str">
            <v>REF</v>
          </cell>
          <cell r="E1100">
            <v>45500</v>
          </cell>
        </row>
        <row r="1101">
          <cell r="A1101">
            <v>8903287015458</v>
          </cell>
          <cell r="B1101" t="str">
            <v>REFRIGERATOR RFFT400-EDNDES</v>
          </cell>
          <cell r="C1101" t="str">
            <v>REFRG</v>
          </cell>
          <cell r="D1101" t="str">
            <v>REF</v>
          </cell>
          <cell r="E1101">
            <v>48000</v>
          </cell>
        </row>
        <row r="1102">
          <cell r="A1102">
            <v>8903287015472</v>
          </cell>
          <cell r="B1102" t="str">
            <v>REFRIGERATOR RFFT435-EDNDES</v>
          </cell>
          <cell r="C1102" t="str">
            <v>REFRG</v>
          </cell>
          <cell r="D1102" t="str">
            <v>REF</v>
          </cell>
          <cell r="E1102">
            <v>53500</v>
          </cell>
        </row>
        <row r="1103">
          <cell r="A1103">
            <v>8903287015496</v>
          </cell>
          <cell r="B1103" t="str">
            <v>REFRIGERATOR RFFT520-EDNDES</v>
          </cell>
          <cell r="C1103" t="str">
            <v>REFRG</v>
          </cell>
          <cell r="D1103" t="str">
            <v>REF</v>
          </cell>
          <cell r="E1103">
            <v>63000</v>
          </cell>
        </row>
        <row r="1104">
          <cell r="A1104">
            <v>8903287015519</v>
          </cell>
          <cell r="B1104" t="str">
            <v>REFRIGERATOR RFFT545-EDNDES</v>
          </cell>
          <cell r="C1104" t="str">
            <v>REFRG</v>
          </cell>
          <cell r="D1104" t="str">
            <v>REF</v>
          </cell>
          <cell r="E1104">
            <v>65500</v>
          </cell>
        </row>
        <row r="1105">
          <cell r="A1105">
            <v>8903287015533</v>
          </cell>
          <cell r="B1105" t="str">
            <v>REFRIGERATOR RSBS580-EDNDES</v>
          </cell>
          <cell r="C1105" t="str">
            <v>REFRG</v>
          </cell>
          <cell r="D1105" t="str">
            <v>REF</v>
          </cell>
          <cell r="E1105">
            <v>83000</v>
          </cell>
        </row>
        <row r="1106">
          <cell r="A1106">
            <v>8903287015540</v>
          </cell>
          <cell r="B1106" t="str">
            <v>REFRIGERATOR RSBS580-EDWDES</v>
          </cell>
          <cell r="C1106" t="str">
            <v>REFRG</v>
          </cell>
          <cell r="D1106" t="str">
            <v>REF</v>
          </cell>
          <cell r="E1106">
            <v>105000</v>
          </cell>
        </row>
        <row r="1107">
          <cell r="A1107">
            <v>8903287015557</v>
          </cell>
          <cell r="B1107" t="str">
            <v>REFRIGERATOR RFDB700-EDWDLS</v>
          </cell>
          <cell r="C1107" t="str">
            <v>REFRG</v>
          </cell>
          <cell r="D1107" t="str">
            <v>REF</v>
          </cell>
          <cell r="E1107">
            <v>151000</v>
          </cell>
        </row>
        <row r="1108">
          <cell r="A1108">
            <v>8903287015564</v>
          </cell>
          <cell r="B1108" t="str">
            <v>REFRIGERATOR RFFT380-EDNDPS</v>
          </cell>
          <cell r="C1108" t="str">
            <v>REFRG</v>
          </cell>
          <cell r="D1108" t="str">
            <v>REF</v>
          </cell>
          <cell r="E1108">
            <v>45500</v>
          </cell>
        </row>
        <row r="1109">
          <cell r="A1109">
            <v>8903287006005</v>
          </cell>
          <cell r="B1109" t="str">
            <v>TOP LOADING WASHING MACHINE AW60-806</v>
          </cell>
          <cell r="C1109" t="str">
            <v>TL</v>
          </cell>
          <cell r="D1109" t="str">
            <v>TL</v>
          </cell>
          <cell r="E1109">
            <v>14500</v>
          </cell>
        </row>
        <row r="1110">
          <cell r="A1110">
            <v>8903287006012</v>
          </cell>
          <cell r="B1110" t="str">
            <v>TOP LOADING WASHING MACHINE AW60-9021</v>
          </cell>
          <cell r="C1110" t="str">
            <v>TL</v>
          </cell>
          <cell r="D1110" t="str">
            <v>TL</v>
          </cell>
          <cell r="E1110">
            <v>13700</v>
          </cell>
        </row>
        <row r="1111">
          <cell r="A1111">
            <v>8903287006029</v>
          </cell>
          <cell r="B1111" t="str">
            <v>TOP LOADING WASHING MACHINE  AW60-8061</v>
          </cell>
          <cell r="C1111" t="str">
            <v>TL</v>
          </cell>
          <cell r="D1111" t="str">
            <v>TL</v>
          </cell>
          <cell r="E1111">
            <v>12550</v>
          </cell>
        </row>
        <row r="1112">
          <cell r="A1112">
            <v>8903287006036</v>
          </cell>
          <cell r="B1112" t="str">
            <v>TOP LOADING WASHING MACHINE  AW60-8062</v>
          </cell>
          <cell r="C1112" t="str">
            <v>TL</v>
          </cell>
          <cell r="D1112" t="str">
            <v>TL</v>
          </cell>
          <cell r="E1112">
            <v>14750</v>
          </cell>
        </row>
        <row r="1113">
          <cell r="A1113">
            <v>8903287006043</v>
          </cell>
          <cell r="B1113" t="str">
            <v>TOP LOADING WASHING MACHINE AW  -6563</v>
          </cell>
          <cell r="C1113" t="str">
            <v>TL</v>
          </cell>
          <cell r="D1113" t="str">
            <v>TL</v>
          </cell>
          <cell r="E1113">
            <v>16300</v>
          </cell>
        </row>
        <row r="1114">
          <cell r="A1114">
            <v>8903287006050</v>
          </cell>
          <cell r="B1114" t="str">
            <v>TOP LOADING WASHING MACHINE  AW  -7233</v>
          </cell>
          <cell r="C1114" t="str">
            <v>TL</v>
          </cell>
          <cell r="D1114" t="str">
            <v>TL</v>
          </cell>
          <cell r="E1114">
            <v>18500</v>
          </cell>
        </row>
        <row r="1115">
          <cell r="A1115">
            <v>8903287006104</v>
          </cell>
          <cell r="B1115" t="str">
            <v>AW60-205T</v>
          </cell>
          <cell r="C1115" t="str">
            <v>TL</v>
          </cell>
          <cell r="D1115" t="str">
            <v>TL</v>
          </cell>
          <cell r="E1115">
            <v>17990</v>
          </cell>
        </row>
        <row r="1116">
          <cell r="A1116">
            <v>8903287006111</v>
          </cell>
          <cell r="B1116" t="str">
            <v>AW6501 W</v>
          </cell>
          <cell r="C1116" t="str">
            <v>TL</v>
          </cell>
          <cell r="D1116" t="str">
            <v>TL</v>
          </cell>
          <cell r="E1116">
            <v>17990</v>
          </cell>
        </row>
        <row r="1117">
          <cell r="A1117">
            <v>8903287006128</v>
          </cell>
          <cell r="B1117" t="str">
            <v>AW6501 RB</v>
          </cell>
          <cell r="C1117" t="str">
            <v>TL</v>
          </cell>
          <cell r="D1117" t="str">
            <v>TL</v>
          </cell>
          <cell r="E1117">
            <v>21490</v>
          </cell>
        </row>
        <row r="1118">
          <cell r="A1118">
            <v>8903287006135</v>
          </cell>
          <cell r="B1118" t="str">
            <v>AW6501 SB</v>
          </cell>
          <cell r="C1118" t="str">
            <v>TL</v>
          </cell>
          <cell r="D1118" t="str">
            <v>TL</v>
          </cell>
          <cell r="E1118">
            <v>21490</v>
          </cell>
        </row>
        <row r="1119">
          <cell r="A1119">
            <v>8903287006142</v>
          </cell>
          <cell r="B1119" t="str">
            <v>AW7201 WB</v>
          </cell>
          <cell r="C1119" t="str">
            <v>TL</v>
          </cell>
          <cell r="D1119" t="str">
            <v>TL</v>
          </cell>
          <cell r="E1119">
            <v>21990</v>
          </cell>
        </row>
        <row r="1120">
          <cell r="A1120">
            <v>8903287006159</v>
          </cell>
          <cell r="B1120" t="str">
            <v>AW7201 RB</v>
          </cell>
          <cell r="C1120" t="str">
            <v>TL</v>
          </cell>
          <cell r="D1120" t="str">
            <v>TL</v>
          </cell>
          <cell r="E1120">
            <v>22490</v>
          </cell>
        </row>
        <row r="1121">
          <cell r="A1121">
            <v>8903287006166</v>
          </cell>
          <cell r="B1121" t="str">
            <v>AW7201 SB</v>
          </cell>
          <cell r="C1121" t="str">
            <v>TL</v>
          </cell>
          <cell r="D1121" t="str">
            <v>TL</v>
          </cell>
          <cell r="E1121">
            <v>20700</v>
          </cell>
        </row>
        <row r="1122">
          <cell r="A1122">
            <v>8903287006173</v>
          </cell>
          <cell r="B1122" t="str">
            <v>AW60-205S</v>
          </cell>
          <cell r="C1122" t="str">
            <v>TL</v>
          </cell>
          <cell r="D1122" t="str">
            <v>TL</v>
          </cell>
          <cell r="E1122">
            <v>16490</v>
          </cell>
        </row>
        <row r="1123">
          <cell r="A1123">
            <v>8903287006180</v>
          </cell>
          <cell r="B1123" t="str">
            <v>AW6501 WB</v>
          </cell>
          <cell r="C1123" t="str">
            <v>TL</v>
          </cell>
          <cell r="D1123" t="str">
            <v>TL</v>
          </cell>
          <cell r="E1123">
            <v>20490</v>
          </cell>
        </row>
        <row r="1124">
          <cell r="A1124">
            <v>8903287021008</v>
          </cell>
          <cell r="B1124" t="str">
            <v>TL–RDW 6.5KG AQUA</v>
          </cell>
          <cell r="C1124" t="str">
            <v>TLM</v>
          </cell>
          <cell r="D1124" t="str">
            <v>TL</v>
          </cell>
          <cell r="E1124">
            <v>20790</v>
          </cell>
        </row>
        <row r="1125">
          <cell r="A1125">
            <v>8903287021015</v>
          </cell>
          <cell r="B1125" t="str">
            <v>TL–RCG 6.5KG AQUA</v>
          </cell>
          <cell r="C1125" t="str">
            <v>TLM</v>
          </cell>
          <cell r="D1125" t="str">
            <v>TL</v>
          </cell>
          <cell r="E1125">
            <v>19790</v>
          </cell>
        </row>
        <row r="1126">
          <cell r="A1126">
            <v>8903287021022</v>
          </cell>
          <cell r="B1126" t="str">
            <v>TL–SDR 6.5KG AQUA</v>
          </cell>
          <cell r="C1126" t="str">
            <v>TLM</v>
          </cell>
          <cell r="D1126" t="str">
            <v>TL</v>
          </cell>
          <cell r="E1126">
            <v>20290</v>
          </cell>
        </row>
        <row r="1127">
          <cell r="A1127">
            <v>8903287021046</v>
          </cell>
          <cell r="B1127" t="str">
            <v>TL–RCH 7.5KG AQUA</v>
          </cell>
          <cell r="C1127" t="str">
            <v>TLM</v>
          </cell>
          <cell r="D1127" t="str">
            <v>TL</v>
          </cell>
          <cell r="E1127">
            <v>26790</v>
          </cell>
        </row>
        <row r="1128">
          <cell r="A1128">
            <v>8903287021053</v>
          </cell>
          <cell r="B1128" t="str">
            <v>TL–SDR 7.5KG AQUA</v>
          </cell>
          <cell r="C1128" t="str">
            <v>TLM</v>
          </cell>
          <cell r="D1128" t="str">
            <v>TL</v>
          </cell>
          <cell r="E1128">
            <v>26690</v>
          </cell>
        </row>
        <row r="1129">
          <cell r="A1129">
            <v>8903287021077</v>
          </cell>
          <cell r="B1129" t="str">
            <v>TL–SCH 8.5KG AQUA</v>
          </cell>
          <cell r="C1129" t="str">
            <v>TLM</v>
          </cell>
          <cell r="D1129" t="str">
            <v>TL</v>
          </cell>
          <cell r="E1129">
            <v>31490</v>
          </cell>
        </row>
        <row r="1130">
          <cell r="A1130">
            <v>8903287021114</v>
          </cell>
          <cell r="B1130" t="str">
            <v>TL–SDG 9.5KG AQUA</v>
          </cell>
          <cell r="C1130" t="str">
            <v>TLM</v>
          </cell>
          <cell r="D1130" t="str">
            <v>TL</v>
          </cell>
          <cell r="E1130">
            <v>34790</v>
          </cell>
        </row>
        <row r="1131">
          <cell r="A1131">
            <v>8903287021138</v>
          </cell>
          <cell r="B1131" t="str">
            <v>TL–RDS 6.5KG AQUA</v>
          </cell>
          <cell r="C1131" t="str">
            <v>TLM</v>
          </cell>
          <cell r="D1131" t="str">
            <v>TL</v>
          </cell>
          <cell r="E1131">
            <v>18390</v>
          </cell>
        </row>
        <row r="1132">
          <cell r="A1132">
            <v>8903287021145</v>
          </cell>
          <cell r="B1132" t="str">
            <v>TL-SDG 7.0KG AQUA</v>
          </cell>
          <cell r="C1132" t="str">
            <v>TLM</v>
          </cell>
          <cell r="D1132" t="str">
            <v>TL</v>
          </cell>
          <cell r="E1132">
            <v>22090</v>
          </cell>
        </row>
        <row r="1133">
          <cell r="A1133">
            <v>8903287021152</v>
          </cell>
          <cell r="B1133" t="str">
            <v>TL–SDG 8.0KG AQUA</v>
          </cell>
          <cell r="C1133" t="str">
            <v>TLM</v>
          </cell>
          <cell r="D1133" t="str">
            <v>TL</v>
          </cell>
          <cell r="E1133">
            <v>30490</v>
          </cell>
        </row>
        <row r="1134">
          <cell r="A1134">
            <v>8903287021169</v>
          </cell>
          <cell r="B1134" t="str">
            <v>TL–RCW 6.5KG AQUA</v>
          </cell>
          <cell r="C1134" t="str">
            <v>TLM</v>
          </cell>
          <cell r="D1134" t="str">
            <v>TL</v>
          </cell>
          <cell r="E1134">
            <v>23390</v>
          </cell>
        </row>
        <row r="1135">
          <cell r="A1135">
            <v>8903287021176</v>
          </cell>
          <cell r="B1135" t="str">
            <v>TL-RCSG 6.5 KG AQUA</v>
          </cell>
          <cell r="C1135" t="str">
            <v>TLM</v>
          </cell>
          <cell r="D1135" t="str">
            <v>TL</v>
          </cell>
          <cell r="E1135">
            <v>24390</v>
          </cell>
        </row>
        <row r="1136">
          <cell r="A1136">
            <v>8903287021190</v>
          </cell>
          <cell r="B1136" t="str">
            <v>TL-SDW 7.0 KG AQUA</v>
          </cell>
          <cell r="C1136" t="str">
            <v>TLM</v>
          </cell>
          <cell r="D1136" t="str">
            <v>TL</v>
          </cell>
          <cell r="E1136">
            <v>23590</v>
          </cell>
        </row>
        <row r="1137">
          <cell r="A1137">
            <v>8903287021206</v>
          </cell>
          <cell r="B1137" t="str">
            <v>TL-RDSS 6.5 KG AQUA</v>
          </cell>
          <cell r="C1137" t="str">
            <v>TLM</v>
          </cell>
          <cell r="D1137" t="str">
            <v>TL</v>
          </cell>
          <cell r="E1137">
            <v>21890</v>
          </cell>
        </row>
        <row r="1138">
          <cell r="A1138">
            <v>8903287021268</v>
          </cell>
          <cell r="B1138" t="str">
            <v>TL-SSDR 6.5KG AQUA</v>
          </cell>
          <cell r="C1138" t="str">
            <v>TLM</v>
          </cell>
          <cell r="D1138" t="str">
            <v>TL</v>
          </cell>
          <cell r="E1138">
            <v>25590</v>
          </cell>
        </row>
        <row r="1139">
          <cell r="A1139">
            <v>8903287021275</v>
          </cell>
          <cell r="B1139" t="str">
            <v>TL-SSDR 7.5KG AQUA</v>
          </cell>
          <cell r="C1139" t="str">
            <v>TLM</v>
          </cell>
          <cell r="D1139" t="str">
            <v>TL</v>
          </cell>
          <cell r="E1139">
            <v>29390</v>
          </cell>
        </row>
        <row r="1140">
          <cell r="A1140">
            <v>8903287021282</v>
          </cell>
          <cell r="B1140" t="str">
            <v>TL-SGDG 7.0KG AQUA</v>
          </cell>
          <cell r="C1140" t="str">
            <v>TLM</v>
          </cell>
          <cell r="D1140" t="str">
            <v>TL</v>
          </cell>
          <cell r="E1140">
            <v>26690</v>
          </cell>
        </row>
        <row r="1141">
          <cell r="A1141">
            <v>8903287021299</v>
          </cell>
          <cell r="B1141" t="str">
            <v>TL–SSDG 8.0KG AQUA</v>
          </cell>
          <cell r="C1141" t="str">
            <v>TLM</v>
          </cell>
          <cell r="D1141" t="str">
            <v>TL</v>
          </cell>
          <cell r="E1141">
            <v>32490</v>
          </cell>
        </row>
        <row r="1142">
          <cell r="A1142">
            <v>8903287021312</v>
          </cell>
          <cell r="B1142" t="str">
            <v>TL-RCSG 7.5KG AQUA</v>
          </cell>
          <cell r="C1142" t="str">
            <v>TLM</v>
          </cell>
          <cell r="D1142" t="str">
            <v>TL</v>
          </cell>
          <cell r="E1142">
            <v>28090</v>
          </cell>
        </row>
        <row r="1143">
          <cell r="A1143">
            <v>8903287021329</v>
          </cell>
          <cell r="B1143" t="str">
            <v>TL-SDW 7.5KG AQUA</v>
          </cell>
          <cell r="C1143" t="str">
            <v>TLM</v>
          </cell>
          <cell r="D1143" t="str">
            <v>TL</v>
          </cell>
          <cell r="E1143">
            <v>24490</v>
          </cell>
        </row>
        <row r="1144">
          <cell r="A1144">
            <v>8903287021336</v>
          </cell>
          <cell r="B1144" t="str">
            <v>TL-REW 6.5KG AQUA</v>
          </cell>
          <cell r="C1144" t="str">
            <v>TLM</v>
          </cell>
          <cell r="D1144" t="str">
            <v>TL</v>
          </cell>
          <cell r="E1144">
            <v>24690</v>
          </cell>
        </row>
        <row r="1145">
          <cell r="A1145">
            <v>8903287021343</v>
          </cell>
          <cell r="B1145" t="str">
            <v>TL-SDIN 10.5KG AQUA</v>
          </cell>
          <cell r="C1145" t="str">
            <v>TLM</v>
          </cell>
          <cell r="D1145" t="str">
            <v>TL</v>
          </cell>
          <cell r="E1145">
            <v>37490</v>
          </cell>
        </row>
        <row r="1146">
          <cell r="A1146">
            <v>8903287021350</v>
          </cell>
          <cell r="B1146" t="str">
            <v>TL-SDBR 8.5KG AQUA</v>
          </cell>
          <cell r="C1146" t="str">
            <v>TLM</v>
          </cell>
          <cell r="D1146" t="str">
            <v>TL</v>
          </cell>
          <cell r="E1146">
            <v>34490</v>
          </cell>
        </row>
        <row r="1147">
          <cell r="A1147">
            <v>8903287021367</v>
          </cell>
          <cell r="B1147" t="str">
            <v>TL-SDBR 8.0 KG AQUA</v>
          </cell>
          <cell r="C1147" t="str">
            <v>TLM</v>
          </cell>
          <cell r="D1147" t="str">
            <v>TL</v>
          </cell>
          <cell r="E1147">
            <v>30390</v>
          </cell>
        </row>
        <row r="1148">
          <cell r="A1148">
            <v>8903287021374</v>
          </cell>
          <cell r="B1148" t="str">
            <v>TL-SDSG 7.0KG AQUA</v>
          </cell>
          <cell r="C1148" t="str">
            <v>TLM</v>
          </cell>
          <cell r="D1148" t="str">
            <v>TL</v>
          </cell>
          <cell r="E1148">
            <v>25690</v>
          </cell>
        </row>
        <row r="1149">
          <cell r="A1149">
            <v>8903287021381</v>
          </cell>
          <cell r="B1149" t="str">
            <v>TL-SDSS 7.0KG AQUA</v>
          </cell>
          <cell r="C1149" t="str">
            <v>TLM</v>
          </cell>
          <cell r="D1149" t="str">
            <v>TL</v>
          </cell>
          <cell r="E1149">
            <v>23990</v>
          </cell>
        </row>
        <row r="1150">
          <cell r="A1150">
            <v>8903287021411</v>
          </cell>
          <cell r="B1150" t="str">
            <v>TL-SSBL 7.0KG AQUA</v>
          </cell>
          <cell r="C1150" t="str">
            <v>TLM</v>
          </cell>
          <cell r="D1150" t="str">
            <v>TL</v>
          </cell>
          <cell r="E1150">
            <v>24690</v>
          </cell>
        </row>
        <row r="1151">
          <cell r="A1151">
            <v>8903287021428</v>
          </cell>
          <cell r="B1151" t="str">
            <v>TL-SSBL 8.5KG AQUA</v>
          </cell>
          <cell r="C1151" t="str">
            <v>TLM</v>
          </cell>
          <cell r="D1151" t="str">
            <v>TL</v>
          </cell>
          <cell r="E1151">
            <v>33490</v>
          </cell>
        </row>
        <row r="1152">
          <cell r="A1152">
            <v>8903287021466</v>
          </cell>
          <cell r="B1152" t="str">
            <v>TL-RCBR 7.5KG AQUA</v>
          </cell>
          <cell r="C1152" t="str">
            <v>TLM</v>
          </cell>
          <cell r="D1152" t="str">
            <v>TL</v>
          </cell>
          <cell r="E1152">
            <v>27190</v>
          </cell>
        </row>
        <row r="1153">
          <cell r="A1153">
            <v>8903287021480</v>
          </cell>
          <cell r="B1153" t="str">
            <v>TL-SSBL 7.5KG AQUA</v>
          </cell>
          <cell r="C1153" t="str">
            <v>TLM</v>
          </cell>
          <cell r="D1153" t="str">
            <v>TL</v>
          </cell>
          <cell r="E1153">
            <v>28890</v>
          </cell>
        </row>
        <row r="1154">
          <cell r="A1154">
            <v>8903287021497</v>
          </cell>
          <cell r="B1154" t="str">
            <v>TL-SSBL 6.5 KG AQUA</v>
          </cell>
          <cell r="C1154" t="str">
            <v>TLM</v>
          </cell>
          <cell r="D1154" t="str">
            <v>TL</v>
          </cell>
          <cell r="E1154">
            <v>22390</v>
          </cell>
        </row>
        <row r="1155">
          <cell r="A1155">
            <v>8903287021541</v>
          </cell>
          <cell r="B1155" t="str">
            <v>TL-SDIN 9.5KG AQUA</v>
          </cell>
          <cell r="C1155" t="str">
            <v>TLM</v>
          </cell>
          <cell r="D1155" t="str">
            <v>TL</v>
          </cell>
          <cell r="E1155">
            <v>35790</v>
          </cell>
        </row>
        <row r="1156">
          <cell r="A1156">
            <v>8903287021565</v>
          </cell>
          <cell r="B1156" t="str">
            <v>TL-SBRH 8.0KG AQUA</v>
          </cell>
          <cell r="C1156" t="str">
            <v>TLM</v>
          </cell>
          <cell r="D1156" t="str">
            <v>TL</v>
          </cell>
          <cell r="E1156">
            <v>32490</v>
          </cell>
        </row>
        <row r="1157">
          <cell r="A1157">
            <v>8903287021596</v>
          </cell>
          <cell r="B1157" t="str">
            <v>TL-SGH 7.0KG AQUA</v>
          </cell>
          <cell r="C1157" t="str">
            <v>TLM</v>
          </cell>
          <cell r="D1157" t="str">
            <v>TL</v>
          </cell>
          <cell r="E1157">
            <v>28950</v>
          </cell>
        </row>
        <row r="1158">
          <cell r="A1158">
            <v>8903287021671</v>
          </cell>
          <cell r="B1158" t="str">
            <v>TL-RGS 7.0KG AQUA</v>
          </cell>
          <cell r="C1158" t="str">
            <v>TLM</v>
          </cell>
          <cell r="D1158" t="str">
            <v>TL</v>
          </cell>
          <cell r="E1158">
            <v>31850</v>
          </cell>
        </row>
        <row r="1159">
          <cell r="A1159">
            <v>8903287021695</v>
          </cell>
          <cell r="B1159" t="str">
            <v>TL-RSGH 6.5KG AQUA</v>
          </cell>
          <cell r="C1159" t="str">
            <v>TLM</v>
          </cell>
          <cell r="D1159" t="str">
            <v>TL</v>
          </cell>
          <cell r="E1159">
            <v>24490</v>
          </cell>
        </row>
        <row r="1160">
          <cell r="A1160">
            <v>8903287021718</v>
          </cell>
          <cell r="B1160" t="str">
            <v>TL-RGH 6.5KG AQUA</v>
          </cell>
          <cell r="C1160" t="str">
            <v>TLM</v>
          </cell>
          <cell r="D1160" t="str">
            <v>TL</v>
          </cell>
          <cell r="E1160">
            <v>26390</v>
          </cell>
        </row>
        <row r="1161">
          <cell r="A1161">
            <v>8903287021725</v>
          </cell>
          <cell r="B1161" t="str">
            <v>TL-REWH 6.5KG AQUA</v>
          </cell>
          <cell r="C1161" t="str">
            <v>TLM</v>
          </cell>
          <cell r="D1161" t="str">
            <v>TL</v>
          </cell>
          <cell r="E1161">
            <v>22690</v>
          </cell>
        </row>
        <row r="1162">
          <cell r="A1162">
            <v>8903287021749</v>
          </cell>
          <cell r="B1162" t="str">
            <v>TL-REGH 6.5KG AQUA</v>
          </cell>
          <cell r="C1162" t="str">
            <v>TLM</v>
          </cell>
          <cell r="D1162" t="str">
            <v>TL</v>
          </cell>
          <cell r="E1162">
            <v>23490</v>
          </cell>
        </row>
        <row r="1163">
          <cell r="A1163">
            <v>8903287021763</v>
          </cell>
          <cell r="B1163" t="str">
            <v>TL-RSS 6.5KG AQUA</v>
          </cell>
          <cell r="C1163" t="str">
            <v>TLM</v>
          </cell>
          <cell r="D1163" t="str">
            <v>TL</v>
          </cell>
          <cell r="E1163">
            <v>26550</v>
          </cell>
        </row>
        <row r="1164">
          <cell r="A1164">
            <v>8903287021787</v>
          </cell>
          <cell r="B1164" t="str">
            <v>TL-REGS 6.5KG AQUA</v>
          </cell>
          <cell r="C1164" t="str">
            <v>TLM</v>
          </cell>
          <cell r="D1164" t="str">
            <v>TL</v>
          </cell>
          <cell r="E1164">
            <v>24050</v>
          </cell>
        </row>
        <row r="1165">
          <cell r="A1165">
            <v>8903287021794</v>
          </cell>
          <cell r="B1165" t="str">
            <v>TL-REG 6.5KG AQUA</v>
          </cell>
          <cell r="C1165" t="str">
            <v>TLM</v>
          </cell>
          <cell r="D1165" t="str">
            <v>TL</v>
          </cell>
          <cell r="E1165">
            <v>25750</v>
          </cell>
        </row>
        <row r="1166">
          <cell r="A1166">
            <v>8903287021817</v>
          </cell>
          <cell r="B1166" t="str">
            <v>TL-SDS 7.0KG AQUA</v>
          </cell>
          <cell r="C1166" t="str">
            <v>TLM</v>
          </cell>
          <cell r="D1166" t="str">
            <v>TL</v>
          </cell>
          <cell r="E1166">
            <v>32950</v>
          </cell>
        </row>
        <row r="1167">
          <cell r="A1167">
            <v>8903287021886</v>
          </cell>
          <cell r="B1167" t="str">
            <v>TL-SDG 6.5KG AQUA</v>
          </cell>
          <cell r="C1167" t="str">
            <v>TLM</v>
          </cell>
          <cell r="D1167" t="str">
            <v>TL</v>
          </cell>
          <cell r="E1167">
            <v>26650</v>
          </cell>
        </row>
        <row r="1168">
          <cell r="A1168">
            <v>8903287021909</v>
          </cell>
          <cell r="B1168" t="str">
            <v>TL-RSSH 6.5KG AQUA</v>
          </cell>
          <cell r="C1168" t="str">
            <v>TLM</v>
          </cell>
          <cell r="D1168" t="str">
            <v>TL</v>
          </cell>
          <cell r="E1168">
            <v>23890</v>
          </cell>
        </row>
        <row r="1169">
          <cell r="A1169">
            <v>8903287021916</v>
          </cell>
          <cell r="B1169" t="str">
            <v>TL-RCGH 7.0KG AQUA</v>
          </cell>
          <cell r="C1169" t="str">
            <v>TLM</v>
          </cell>
          <cell r="D1169" t="str">
            <v>TL</v>
          </cell>
          <cell r="E1169">
            <v>27490</v>
          </cell>
        </row>
        <row r="1170">
          <cell r="A1170">
            <v>8903287021923</v>
          </cell>
          <cell r="B1170" t="str">
            <v>TL-SDGH 7.0KG AQUA</v>
          </cell>
          <cell r="C1170" t="str">
            <v>TLM</v>
          </cell>
          <cell r="D1170" t="str">
            <v>TL</v>
          </cell>
          <cell r="E1170">
            <v>28890</v>
          </cell>
        </row>
        <row r="1171">
          <cell r="A1171">
            <v>8903287021947</v>
          </cell>
          <cell r="B1171" t="str">
            <v>TL-RBR 6.5 KG AQUA</v>
          </cell>
          <cell r="C1171" t="str">
            <v>TLM</v>
          </cell>
          <cell r="D1171" t="str">
            <v>TL</v>
          </cell>
          <cell r="E1171">
            <v>25890</v>
          </cell>
        </row>
        <row r="1172">
          <cell r="A1172">
            <v>8903287021961</v>
          </cell>
          <cell r="B1172" t="str">
            <v>TL-RES 6.5KG AQUA</v>
          </cell>
          <cell r="C1172" t="str">
            <v>TLM</v>
          </cell>
          <cell r="D1172" t="str">
            <v>TL</v>
          </cell>
          <cell r="E1172">
            <v>25750</v>
          </cell>
        </row>
        <row r="1173">
          <cell r="A1173">
            <v>8903287021978</v>
          </cell>
          <cell r="B1173" t="str">
            <v>TL-SSH 6.5KG AQUA</v>
          </cell>
          <cell r="C1173" t="str">
            <v>TLM</v>
          </cell>
          <cell r="D1173" t="str">
            <v>TL</v>
          </cell>
          <cell r="E1173">
            <v>27390</v>
          </cell>
        </row>
        <row r="1174">
          <cell r="A1174">
            <v>8903287021985</v>
          </cell>
          <cell r="B1174" t="str">
            <v>TL-RSH 7.0KG AQUA</v>
          </cell>
          <cell r="C1174" t="str">
            <v>TLM</v>
          </cell>
          <cell r="D1174" t="str">
            <v>TL</v>
          </cell>
          <cell r="E1174">
            <v>24990</v>
          </cell>
        </row>
        <row r="1175">
          <cell r="A1175">
            <v>8903287021992</v>
          </cell>
          <cell r="B1175" t="str">
            <v>TL-SDGS 7.0KG AQUA</v>
          </cell>
          <cell r="C1175" t="str">
            <v>TLM</v>
          </cell>
          <cell r="D1175" t="str">
            <v>TL</v>
          </cell>
          <cell r="E1175">
            <v>25990</v>
          </cell>
        </row>
        <row r="1176">
          <cell r="A1176">
            <v>8903287022005</v>
          </cell>
          <cell r="B1176" t="str">
            <v>TL-SSBH 8.0KG AQUA</v>
          </cell>
          <cell r="C1176" t="str">
            <v>TLM</v>
          </cell>
          <cell r="D1176" t="str">
            <v>TL</v>
          </cell>
          <cell r="E1176">
            <v>31990</v>
          </cell>
        </row>
        <row r="1177">
          <cell r="A1177">
            <v>8903287022012</v>
          </cell>
          <cell r="B1177" t="str">
            <v>TL-SSSH 8.0KG AQUA</v>
          </cell>
          <cell r="C1177" t="str">
            <v>TLM</v>
          </cell>
          <cell r="D1177" t="str">
            <v>TL</v>
          </cell>
          <cell r="E1177">
            <v>32490</v>
          </cell>
        </row>
        <row r="1178">
          <cell r="A1178">
            <v>8903287022067</v>
          </cell>
          <cell r="B1178" t="str">
            <v>TL-SSBL 9.0KG AQUA</v>
          </cell>
          <cell r="C1178" t="str">
            <v>TLM</v>
          </cell>
          <cell r="D1178" t="str">
            <v>TL</v>
          </cell>
          <cell r="E1178">
            <v>34690</v>
          </cell>
        </row>
        <row r="1179">
          <cell r="A1179">
            <v>8903287022074</v>
          </cell>
          <cell r="B1179" t="str">
            <v>TL-SDIN 10.0KG AQUA</v>
          </cell>
          <cell r="C1179" t="str">
            <v>TLM</v>
          </cell>
          <cell r="D1179" t="str">
            <v>TL</v>
          </cell>
          <cell r="E1179">
            <v>36790</v>
          </cell>
        </row>
        <row r="1180">
          <cell r="A1180">
            <v>8903287022081</v>
          </cell>
          <cell r="B1180" t="str">
            <v>TL-SDIN 11.0KG AQUA</v>
          </cell>
          <cell r="C1180" t="str">
            <v>TLM</v>
          </cell>
          <cell r="D1180" t="str">
            <v>TL</v>
          </cell>
          <cell r="E1180">
            <v>38490</v>
          </cell>
        </row>
        <row r="1181">
          <cell r="A1181">
            <v>8903287022104</v>
          </cell>
          <cell r="B1181" t="str">
            <v>TL-RES 7.0KG AQUA</v>
          </cell>
          <cell r="C1181" t="str">
            <v>TLM</v>
          </cell>
          <cell r="D1181" t="str">
            <v>TL</v>
          </cell>
          <cell r="E1181">
            <v>27290</v>
          </cell>
        </row>
        <row r="1182">
          <cell r="A1182">
            <v>8903287022210</v>
          </cell>
          <cell r="B1182" t="str">
            <v>TL-REG 7.0KG AQUA</v>
          </cell>
          <cell r="C1182" t="str">
            <v>TLM</v>
          </cell>
          <cell r="D1182" t="str">
            <v>TL</v>
          </cell>
          <cell r="E1182">
            <v>27790</v>
          </cell>
        </row>
        <row r="1183">
          <cell r="A1183">
            <v>8903287022227</v>
          </cell>
          <cell r="B1183" t="str">
            <v>TL-REGH 7.0KG AQUA</v>
          </cell>
          <cell r="C1183" t="str">
            <v>TLM</v>
          </cell>
          <cell r="D1183" t="str">
            <v>TL</v>
          </cell>
          <cell r="E1183">
            <v>23790</v>
          </cell>
        </row>
        <row r="1184">
          <cell r="A1184">
            <v>8903287022234</v>
          </cell>
          <cell r="B1184" t="str">
            <v>TL-RESH 7.0KG AQUA</v>
          </cell>
          <cell r="C1184" t="str">
            <v>TLM</v>
          </cell>
          <cell r="D1184" t="str">
            <v>TL</v>
          </cell>
          <cell r="E1184">
            <v>23190</v>
          </cell>
        </row>
        <row r="1185">
          <cell r="A1185">
            <v>8903287022241</v>
          </cell>
          <cell r="B1185" t="str">
            <v>TL-SDSH 8.0KG AQUA</v>
          </cell>
          <cell r="C1185" t="str">
            <v>TLM</v>
          </cell>
          <cell r="D1185" t="str">
            <v>TL</v>
          </cell>
          <cell r="E1185">
            <v>30990</v>
          </cell>
        </row>
        <row r="1186">
          <cell r="A1186">
            <v>8903287022302</v>
          </cell>
          <cell r="B1186" t="str">
            <v>TL-RPSS 6.5KG AQUA</v>
          </cell>
          <cell r="C1186" t="str">
            <v>TLM</v>
          </cell>
          <cell r="D1186" t="str">
            <v>TL</v>
          </cell>
          <cell r="E1186">
            <v>28450</v>
          </cell>
        </row>
        <row r="1187">
          <cell r="A1187">
            <v>8903287022319</v>
          </cell>
          <cell r="B1187" t="str">
            <v>TL-REWS 6.5KG AQUA</v>
          </cell>
          <cell r="C1187" t="str">
            <v>TLM</v>
          </cell>
          <cell r="D1187" t="str">
            <v>TL</v>
          </cell>
          <cell r="E1187">
            <v>27250</v>
          </cell>
        </row>
        <row r="1188">
          <cell r="A1188">
            <v>8903287022333</v>
          </cell>
          <cell r="B1188" t="str">
            <v>TL-SPSS 6.5KG AQUA</v>
          </cell>
          <cell r="C1188" t="str">
            <v>TLM</v>
          </cell>
          <cell r="D1188" t="str">
            <v>TL</v>
          </cell>
          <cell r="E1188">
            <v>27950</v>
          </cell>
        </row>
        <row r="1189">
          <cell r="A1189">
            <v>8903287022340</v>
          </cell>
          <cell r="B1189" t="str">
            <v>TL-RESS 7.0KG AQUA</v>
          </cell>
          <cell r="C1189" t="str">
            <v>TLM</v>
          </cell>
          <cell r="D1189" t="str">
            <v>TL</v>
          </cell>
          <cell r="E1189">
            <v>23750</v>
          </cell>
        </row>
        <row r="1190">
          <cell r="A1190">
            <v>8903287022357</v>
          </cell>
          <cell r="B1190" t="str">
            <v>TL-REGS 7.0KG AQUA</v>
          </cell>
          <cell r="C1190" t="str">
            <v>TLM</v>
          </cell>
          <cell r="D1190" t="str">
            <v>TL</v>
          </cell>
          <cell r="E1190">
            <v>29350</v>
          </cell>
        </row>
        <row r="1191">
          <cell r="A1191">
            <v>8903287022364</v>
          </cell>
          <cell r="B1191" t="str">
            <v>TL-RPSS 7.0KG AQUA</v>
          </cell>
          <cell r="C1191" t="str">
            <v>TLM</v>
          </cell>
          <cell r="D1191" t="str">
            <v>TL</v>
          </cell>
          <cell r="E1191">
            <v>30550</v>
          </cell>
        </row>
        <row r="1192">
          <cell r="A1192">
            <v>8903287022371</v>
          </cell>
          <cell r="B1192" t="str">
            <v>TL-SPGS 7.0KG AQUA</v>
          </cell>
          <cell r="C1192" t="str">
            <v>TLM</v>
          </cell>
          <cell r="D1192" t="str">
            <v>TL</v>
          </cell>
          <cell r="E1192">
            <v>34450</v>
          </cell>
        </row>
        <row r="1193">
          <cell r="A1193">
            <v>8903287022388</v>
          </cell>
          <cell r="B1193" t="str">
            <v>TL-SBRS 8.0KG AQUA</v>
          </cell>
          <cell r="C1193" t="str">
            <v>TLM</v>
          </cell>
          <cell r="D1193" t="str">
            <v>TL</v>
          </cell>
          <cell r="E1193">
            <v>38950</v>
          </cell>
        </row>
        <row r="1194">
          <cell r="A1194">
            <v>8903287022395</v>
          </cell>
          <cell r="B1194" t="str">
            <v>TL-SPLS 8.0KG AQUA</v>
          </cell>
          <cell r="C1194" t="str">
            <v>TLM</v>
          </cell>
          <cell r="D1194" t="str">
            <v>TL</v>
          </cell>
          <cell r="E1194">
            <v>38950</v>
          </cell>
        </row>
        <row r="1195">
          <cell r="A1195">
            <v>8903287022401</v>
          </cell>
          <cell r="B1195" t="str">
            <v>TL-SDSS 8.0KG AQUA</v>
          </cell>
          <cell r="C1195" t="str">
            <v>TLM</v>
          </cell>
          <cell r="D1195" t="str">
            <v>TL</v>
          </cell>
          <cell r="E1195">
            <v>31450</v>
          </cell>
        </row>
        <row r="1196">
          <cell r="A1196">
            <v>8903287022418</v>
          </cell>
          <cell r="B1196" t="str">
            <v>TL-SLBS 9.0KG AQUA</v>
          </cell>
          <cell r="C1196" t="str">
            <v>TLM</v>
          </cell>
          <cell r="D1196" t="str">
            <v>TL</v>
          </cell>
          <cell r="E1196">
            <v>39990</v>
          </cell>
        </row>
        <row r="1197">
          <cell r="A1197">
            <v>8903287022425</v>
          </cell>
          <cell r="B1197" t="str">
            <v>TL-SIBS 10.0KG AQUA</v>
          </cell>
          <cell r="C1197" t="str">
            <v>TLM</v>
          </cell>
          <cell r="D1197" t="str">
            <v>TL</v>
          </cell>
          <cell r="E1197">
            <v>41990</v>
          </cell>
        </row>
        <row r="1198">
          <cell r="A1198">
            <v>8903287022432</v>
          </cell>
          <cell r="B1198" t="str">
            <v>TL-SIBS 11.0KG AQUA</v>
          </cell>
          <cell r="C1198" t="str">
            <v>TLM</v>
          </cell>
          <cell r="D1198" t="str">
            <v>TL</v>
          </cell>
          <cell r="E1198">
            <v>44990</v>
          </cell>
        </row>
        <row r="1199">
          <cell r="A1199">
            <v>8903287022449</v>
          </cell>
          <cell r="B1199" t="str">
            <v>TL-S4RBS 9.0KG AQUA</v>
          </cell>
          <cell r="C1199" t="str">
            <v>TLM</v>
          </cell>
          <cell r="D1199" t="str">
            <v>TL</v>
          </cell>
          <cell r="E1199">
            <v>40990</v>
          </cell>
        </row>
        <row r="1200">
          <cell r="A1200">
            <v>8903287022487</v>
          </cell>
          <cell r="B1200" t="str">
            <v>TL-S4STS 9.0KG AQUA</v>
          </cell>
          <cell r="C1200" t="str">
            <v>TLM</v>
          </cell>
          <cell r="D1200" t="str">
            <v>TL</v>
          </cell>
          <cell r="E1200">
            <v>42490</v>
          </cell>
        </row>
        <row r="1201">
          <cell r="A1201">
            <v>8903287022494</v>
          </cell>
          <cell r="B1201" t="str">
            <v>TL-S4RBS 10.0KG AQUA</v>
          </cell>
          <cell r="C1201" t="str">
            <v>TLM</v>
          </cell>
          <cell r="D1201" t="str">
            <v>TL</v>
          </cell>
          <cell r="E1201">
            <v>41490</v>
          </cell>
        </row>
        <row r="1202">
          <cell r="A1202">
            <v>8903287022524</v>
          </cell>
          <cell r="B1202" t="str">
            <v>TL-S4BLS 10.0KG AQUA</v>
          </cell>
          <cell r="C1202" t="str">
            <v>TLM</v>
          </cell>
          <cell r="D1202" t="str">
            <v>TL</v>
          </cell>
          <cell r="E1202">
            <v>43490</v>
          </cell>
        </row>
        <row r="1203">
          <cell r="A1203">
            <v>8903287022647</v>
          </cell>
          <cell r="B1203" t="str">
            <v>TL-R1WRS 7.0KG AQUA</v>
          </cell>
          <cell r="C1203" t="str">
            <v>TLM</v>
          </cell>
          <cell r="D1203" t="str">
            <v>TL</v>
          </cell>
          <cell r="E1203">
            <v>30990</v>
          </cell>
        </row>
        <row r="1204">
          <cell r="A1204">
            <v>8903287022920</v>
          </cell>
          <cell r="B1204" t="str">
            <v>TL-S4RBS 12.0KG AQUA</v>
          </cell>
          <cell r="C1204" t="str">
            <v>TLM</v>
          </cell>
          <cell r="D1204" t="str">
            <v>TL</v>
          </cell>
          <cell r="E1204">
            <v>46490</v>
          </cell>
        </row>
        <row r="1205">
          <cell r="A1205">
            <v>8903287022937</v>
          </cell>
          <cell r="B1205" t="str">
            <v>TL-S4INS 12.0KG AQUA</v>
          </cell>
          <cell r="C1205" t="str">
            <v>TLM</v>
          </cell>
          <cell r="D1205" t="str">
            <v>TL</v>
          </cell>
          <cell r="E1205">
            <v>46990</v>
          </cell>
        </row>
        <row r="1206">
          <cell r="A1206">
            <v>8903287027031</v>
          </cell>
          <cell r="B1206" t="str">
            <v>TL-R3SG 8.0KG AQUA</v>
          </cell>
          <cell r="C1206" t="str">
            <v>TLM</v>
          </cell>
          <cell r="D1206" t="str">
            <v>TL</v>
          </cell>
          <cell r="E1206">
            <v>34990</v>
          </cell>
        </row>
        <row r="1207">
          <cell r="A1207">
            <v>8903287027079</v>
          </cell>
          <cell r="B1207" t="str">
            <v>TL-R1WH 7.0KG AQUA</v>
          </cell>
          <cell r="C1207" t="str">
            <v>TLM</v>
          </cell>
          <cell r="D1207" t="str">
            <v>TL</v>
          </cell>
          <cell r="E1207">
            <v>26690</v>
          </cell>
        </row>
        <row r="1208">
          <cell r="A1208">
            <v>8903287027154</v>
          </cell>
          <cell r="B1208" t="str">
            <v>TL-R1BRS 7.0KG AQUA</v>
          </cell>
          <cell r="C1208" t="str">
            <v>TLM</v>
          </cell>
          <cell r="D1208" t="str">
            <v>TL</v>
          </cell>
          <cell r="E1208">
            <v>29990</v>
          </cell>
        </row>
        <row r="1209">
          <cell r="A1209">
            <v>8903287027215</v>
          </cell>
          <cell r="B1209" t="str">
            <v>TL-R1WRS 6.5KG AQUA</v>
          </cell>
          <cell r="C1209" t="str">
            <v>TLM</v>
          </cell>
          <cell r="D1209" t="str">
            <v>TL</v>
          </cell>
          <cell r="E1209">
            <v>28990</v>
          </cell>
        </row>
        <row r="1210">
          <cell r="A1210">
            <v>8903287027222</v>
          </cell>
          <cell r="B1210" t="str">
            <v>TL-R2BRS 6.5KG AQUA</v>
          </cell>
          <cell r="C1210" t="str">
            <v>TLM</v>
          </cell>
          <cell r="D1210" t="str">
            <v>TL</v>
          </cell>
          <cell r="E1210">
            <v>30990</v>
          </cell>
        </row>
        <row r="1211">
          <cell r="A1211">
            <v>8903287027239</v>
          </cell>
          <cell r="B1211" t="str">
            <v>TL-R2WRS 6.5KG AQUA</v>
          </cell>
          <cell r="C1211" t="str">
            <v>TLM</v>
          </cell>
          <cell r="D1211" t="str">
            <v>TL</v>
          </cell>
          <cell r="E1211">
            <v>30490</v>
          </cell>
        </row>
        <row r="1212">
          <cell r="A1212">
            <v>8903287027260</v>
          </cell>
          <cell r="B1212" t="str">
            <v>TL-S1WRS 7.0KG AQUA</v>
          </cell>
          <cell r="C1212" t="str">
            <v>TLM</v>
          </cell>
          <cell r="D1212" t="str">
            <v>TL</v>
          </cell>
          <cell r="E1212">
            <v>33990</v>
          </cell>
        </row>
        <row r="1213">
          <cell r="A1213">
            <v>8903287027284</v>
          </cell>
          <cell r="B1213" t="str">
            <v>TL-S1WRS 8.0KG AQUA</v>
          </cell>
          <cell r="C1213" t="str">
            <v>TLM</v>
          </cell>
          <cell r="D1213" t="str">
            <v>TL</v>
          </cell>
          <cell r="E1213">
            <v>37450</v>
          </cell>
        </row>
        <row r="1214">
          <cell r="A1214">
            <v>8903287027338</v>
          </cell>
          <cell r="B1214" t="str">
            <v>TL-R2BR 7.0KG AQUA</v>
          </cell>
          <cell r="C1214" t="str">
            <v>TLM</v>
          </cell>
          <cell r="D1214" t="str">
            <v>TL</v>
          </cell>
          <cell r="E1214">
            <v>28550</v>
          </cell>
        </row>
        <row r="1215">
          <cell r="A1215">
            <v>8903287027345</v>
          </cell>
          <cell r="B1215" t="str">
            <v>TL-S1BRS 7.0KG AQUA</v>
          </cell>
          <cell r="C1215" t="str">
            <v>TLM</v>
          </cell>
          <cell r="D1215" t="str">
            <v>TL</v>
          </cell>
          <cell r="E1215">
            <v>32990</v>
          </cell>
        </row>
        <row r="1216">
          <cell r="A1216">
            <v>8903287031007</v>
          </cell>
          <cell r="B1216" t="str">
            <v>TL-R2BRS 8.0KG AQUA</v>
          </cell>
          <cell r="C1216" t="str">
            <v>TLM</v>
          </cell>
          <cell r="D1216" t="str">
            <v>TL</v>
          </cell>
          <cell r="E1216">
            <v>32990</v>
          </cell>
        </row>
        <row r="1217">
          <cell r="A1217">
            <v>8903287031021</v>
          </cell>
          <cell r="B1217" t="str">
            <v>TL801WR2S</v>
          </cell>
          <cell r="C1217" t="str">
            <v>TLM</v>
          </cell>
          <cell r="D1217" t="str">
            <v>TL</v>
          </cell>
          <cell r="E1217">
            <v>28500</v>
          </cell>
        </row>
        <row r="1218">
          <cell r="A1218">
            <v>8903287031038</v>
          </cell>
          <cell r="B1218" t="str">
            <v>TL800WR2SWID</v>
          </cell>
          <cell r="C1218" t="str">
            <v>TLM</v>
          </cell>
          <cell r="D1218" t="str">
            <v>TL</v>
          </cell>
          <cell r="E1218">
            <v>31650</v>
          </cell>
        </row>
        <row r="1219">
          <cell r="A1219">
            <v>8903287024344</v>
          </cell>
          <cell r="B1219" t="str">
            <v>WD EXECUTIVE ZX 8.5/6.5 KG</v>
          </cell>
          <cell r="C1219" t="str">
            <v>WD</v>
          </cell>
          <cell r="D1219" t="str">
            <v>WD</v>
          </cell>
          <cell r="E1219">
            <v>61990</v>
          </cell>
        </row>
        <row r="1220">
          <cell r="A1220">
            <v>8903287024528</v>
          </cell>
          <cell r="B1220" t="str">
            <v>WD EXECUTIVE ZXS 8.5/6.5 KG</v>
          </cell>
          <cell r="C1220" t="str">
            <v>WD</v>
          </cell>
          <cell r="D1220" t="str">
            <v>WD</v>
          </cell>
          <cell r="E1220">
            <v>73990</v>
          </cell>
        </row>
        <row r="1221">
          <cell r="A1221">
            <v>8903287024535</v>
          </cell>
          <cell r="B1221" t="str">
            <v>WD EXECUTIVE ZXM 8.5/6.5 KG</v>
          </cell>
          <cell r="C1221" t="str">
            <v>WD</v>
          </cell>
          <cell r="D1221" t="str">
            <v>WD</v>
          </cell>
          <cell r="E1221">
            <v>76990</v>
          </cell>
        </row>
        <row r="1222">
          <cell r="A1222">
            <v>8903287030161</v>
          </cell>
          <cell r="B1222" t="str">
            <v>WD EXECUTIVE ZXV 8.5/6.5 KG</v>
          </cell>
          <cell r="C1222" t="str">
            <v>WD</v>
          </cell>
          <cell r="D1222" t="str">
            <v>WD</v>
          </cell>
          <cell r="E1222">
            <v>78990</v>
          </cell>
        </row>
        <row r="1223">
          <cell r="A1223">
            <v>8903287030178</v>
          </cell>
          <cell r="B1223" t="str">
            <v>WD EXECUTIVE ZXB 8.5/6.5 KG</v>
          </cell>
          <cell r="C1223" t="str">
            <v>WD</v>
          </cell>
          <cell r="D1223" t="str">
            <v>WD</v>
          </cell>
          <cell r="E1223">
            <v>78490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-FLM"/>
      <sheetName val="WM-TLM"/>
      <sheetName val="CD"/>
      <sheetName val="MW"/>
      <sheetName val="DW"/>
      <sheetName val="ST"/>
      <sheetName val="AC"/>
      <sheetName val="WD"/>
      <sheetName val="RF-Single_Door"/>
      <sheetName val="RF-Double_Door"/>
    </sheetNames>
    <sheetDataSet>
      <sheetData sheetId="0">
        <row r="2">
          <cell r="B2" t="str">
            <v>Senator Plus MSC 8014</v>
          </cell>
          <cell r="C2">
            <v>8903287030017</v>
          </cell>
          <cell r="D2" t="str">
            <v>SENATOR PLUS MSC, FLU, 58290</v>
          </cell>
          <cell r="E2" t="str">
            <v>WM</v>
          </cell>
          <cell r="F2" t="str">
            <v>FLM</v>
          </cell>
          <cell r="G2" t="str">
            <v>https://www.ifbappliances.com/senator-plus-msc-8014</v>
          </cell>
          <cell r="H2">
            <v>58290</v>
          </cell>
          <cell r="I2">
            <v>58290</v>
          </cell>
          <cell r="J2">
            <v>51295.199999999997</v>
          </cell>
          <cell r="K2" t="str">
            <v>IFB</v>
          </cell>
          <cell r="L2">
            <v>8</v>
          </cell>
          <cell r="M2">
            <v>1400</v>
          </cell>
          <cell r="N2">
            <v>75</v>
          </cell>
          <cell r="O2">
            <v>5</v>
          </cell>
          <cell r="P2">
            <v>8.9</v>
          </cell>
          <cell r="Q2">
            <v>0.06</v>
          </cell>
          <cell r="R2" t="str">
            <v>Silver</v>
          </cell>
          <cell r="S2" t="str">
            <v>LED</v>
          </cell>
          <cell r="T2" t="str">
            <v>AI</v>
          </cell>
          <cell r="U2" t="str">
            <v>Power Steam</v>
          </cell>
          <cell r="V2" t="str">
            <v>Eco Inverter Motor</v>
          </cell>
          <cell r="W2" t="str">
            <v>Aqua Energie</v>
          </cell>
          <cell r="X2" t="str">
            <v>3D Wash System</v>
          </cell>
          <cell r="Y2" t="str">
            <v>Refresh</v>
          </cell>
          <cell r="Z2" t="str">
            <v>9 Swirl</v>
          </cell>
          <cell r="AA2" t="str">
            <v>WiFi</v>
          </cell>
          <cell r="AD2" t="str">
            <v>Auto Imbalance Vibration</v>
          </cell>
          <cell r="AE2" t="str">
            <v>High Low Voltage Protection</v>
          </cell>
          <cell r="AF2" t="str">
            <v>Foam Detection</v>
          </cell>
          <cell r="AG2" t="str">
            <v>Auto Restart</v>
          </cell>
          <cell r="AH2" t="str">
            <v>Self Diagnosis</v>
          </cell>
          <cell r="AI2" t="str">
            <v>Steam</v>
          </cell>
          <cell r="AJ2" t="str">
            <v>Prewash</v>
          </cell>
          <cell r="AK2" t="str">
            <v>Warm Soak</v>
          </cell>
          <cell r="AL2" t="str">
            <v>Extra Rinse</v>
          </cell>
          <cell r="AM2" t="str">
            <v>Hot Rinse</v>
          </cell>
          <cell r="AN2" t="str">
            <v>Anticrease</v>
          </cell>
          <cell r="AO2" t="str">
            <v>A++</v>
          </cell>
        </row>
        <row r="3">
          <cell r="B3" t="str">
            <v>Senator Plus SXC 8014</v>
          </cell>
          <cell r="C3">
            <v>8903287025334</v>
          </cell>
          <cell r="D3" t="str">
            <v>SENATOR PLUS SXC, FLU, 57290</v>
          </cell>
          <cell r="E3" t="str">
            <v>WM</v>
          </cell>
          <cell r="F3" t="str">
            <v>FLM</v>
          </cell>
          <cell r="G3" t="str">
            <v>https://www.ifbappliances.com/senator-plus-sxc-8014</v>
          </cell>
          <cell r="H3">
            <v>57290</v>
          </cell>
          <cell r="I3">
            <v>57290</v>
          </cell>
          <cell r="J3">
            <v>50415.199999999997</v>
          </cell>
          <cell r="K3" t="str">
            <v>IFB</v>
          </cell>
          <cell r="L3">
            <v>8</v>
          </cell>
          <cell r="M3">
            <v>1400</v>
          </cell>
          <cell r="N3">
            <v>75</v>
          </cell>
          <cell r="O3">
            <v>5</v>
          </cell>
          <cell r="P3">
            <v>8.9</v>
          </cell>
          <cell r="Q3">
            <v>0.06</v>
          </cell>
          <cell r="R3" t="str">
            <v>Silver</v>
          </cell>
          <cell r="S3" t="str">
            <v>LED</v>
          </cell>
          <cell r="T3" t="str">
            <v>AI</v>
          </cell>
          <cell r="U3" t="str">
            <v>Power Steam</v>
          </cell>
          <cell r="V3" t="str">
            <v>Eco Inverter Motor</v>
          </cell>
          <cell r="W3" t="str">
            <v>Aqua Energie</v>
          </cell>
          <cell r="X3" t="str">
            <v>3D Wash System</v>
          </cell>
          <cell r="Y3" t="str">
            <v>Refresh</v>
          </cell>
          <cell r="Z3" t="str">
            <v>9 Swirl</v>
          </cell>
          <cell r="AA3" t="str">
            <v>WiFi</v>
          </cell>
          <cell r="AB3" t="str">
            <v>Voice</v>
          </cell>
          <cell r="AD3" t="str">
            <v>Auto Imbalance Vibration</v>
          </cell>
          <cell r="AE3" t="str">
            <v>High Low Voltage Protection</v>
          </cell>
          <cell r="AF3" t="str">
            <v>Foam Detection</v>
          </cell>
          <cell r="AG3" t="str">
            <v>Auto Restart</v>
          </cell>
          <cell r="AH3" t="str">
            <v>Self Diagnosis</v>
          </cell>
          <cell r="AI3" t="str">
            <v>Steam</v>
          </cell>
          <cell r="AJ3" t="str">
            <v>Prewash</v>
          </cell>
          <cell r="AK3" t="str">
            <v>Warm Soak</v>
          </cell>
          <cell r="AL3" t="str">
            <v>Extra Rinse</v>
          </cell>
          <cell r="AM3" t="str">
            <v>Hot Rinse</v>
          </cell>
          <cell r="AN3" t="str">
            <v>Anticrease</v>
          </cell>
          <cell r="AO3" t="str">
            <v>A+</v>
          </cell>
        </row>
        <row r="4">
          <cell r="B4" t="str">
            <v>Executive Plus MXC 1014</v>
          </cell>
          <cell r="C4">
            <v>8903287026522</v>
          </cell>
          <cell r="D4" t="str">
            <v>EXECUTIVE PLUS MXC 1014, FLU, 62990</v>
          </cell>
          <cell r="E4" t="str">
            <v>WM</v>
          </cell>
          <cell r="F4" t="str">
            <v>FLM</v>
          </cell>
          <cell r="G4" t="str">
            <v>https://www.ifbappliances.com/executive-plus-mxc-1014</v>
          </cell>
          <cell r="H4">
            <v>62990</v>
          </cell>
          <cell r="I4">
            <v>62990</v>
          </cell>
          <cell r="J4">
            <v>55431.199999999997</v>
          </cell>
          <cell r="K4" t="str">
            <v>IFB</v>
          </cell>
          <cell r="L4">
            <v>10</v>
          </cell>
          <cell r="M4">
            <v>1400</v>
          </cell>
          <cell r="N4">
            <v>76</v>
          </cell>
          <cell r="O4">
            <v>5</v>
          </cell>
          <cell r="P4">
            <v>8</v>
          </cell>
          <cell r="Q4">
            <v>0.06</v>
          </cell>
          <cell r="R4" t="str">
            <v>Mocha</v>
          </cell>
          <cell r="S4" t="str">
            <v>LED</v>
          </cell>
          <cell r="T4" t="str">
            <v>AI</v>
          </cell>
          <cell r="U4" t="str">
            <v>Power Steam</v>
          </cell>
          <cell r="V4" t="str">
            <v>Eco Inverter Motor</v>
          </cell>
          <cell r="W4" t="str">
            <v>Aqua Energie</v>
          </cell>
          <cell r="X4" t="str">
            <v>Oxyjet</v>
          </cell>
          <cell r="Y4" t="str">
            <v>Refresh</v>
          </cell>
          <cell r="Z4" t="str">
            <v>9 Swirl</v>
          </cell>
          <cell r="AA4" t="str">
            <v>WiFi</v>
          </cell>
          <cell r="AB4" t="str">
            <v>Voice</v>
          </cell>
          <cell r="AD4" t="str">
            <v>Auto Imbalance Vibration</v>
          </cell>
          <cell r="AE4" t="str">
            <v>High Low Voltage Protection</v>
          </cell>
          <cell r="AF4" t="str">
            <v>Foam Detection</v>
          </cell>
          <cell r="AG4" t="str">
            <v>Auto Restart</v>
          </cell>
          <cell r="AH4" t="str">
            <v>Self Diagnosis</v>
          </cell>
          <cell r="AI4" t="str">
            <v>Steam</v>
          </cell>
          <cell r="AJ4" t="str">
            <v>Prewash</v>
          </cell>
          <cell r="AK4" t="str">
            <v>Warm Soak</v>
          </cell>
          <cell r="AL4" t="str">
            <v>Extra Rinse</v>
          </cell>
          <cell r="AM4" t="str">
            <v>Hot Rinse</v>
          </cell>
          <cell r="AN4" t="str">
            <v>Anticrease</v>
          </cell>
          <cell r="AO4" t="str">
            <v>A++</v>
          </cell>
        </row>
        <row r="5">
          <cell r="B5" t="str">
            <v>Senator Plus MXC 8014</v>
          </cell>
          <cell r="C5">
            <v>8903287025341</v>
          </cell>
          <cell r="D5" t="str">
            <v>SENATOR PLUS MXC, FLU, 59290</v>
          </cell>
          <cell r="E5" t="str">
            <v>WM</v>
          </cell>
          <cell r="F5" t="str">
            <v>FLM</v>
          </cell>
          <cell r="G5" t="str">
            <v>https://www.ifbappliances.com/senator-plus-mxc-8014</v>
          </cell>
          <cell r="H5">
            <v>59290</v>
          </cell>
          <cell r="I5">
            <v>59290</v>
          </cell>
          <cell r="J5">
            <v>52175.199999999997</v>
          </cell>
          <cell r="K5" t="str">
            <v>IFB</v>
          </cell>
          <cell r="L5">
            <v>8</v>
          </cell>
          <cell r="M5">
            <v>1400</v>
          </cell>
          <cell r="N5">
            <v>75</v>
          </cell>
          <cell r="O5">
            <v>5</v>
          </cell>
          <cell r="P5">
            <v>8.9</v>
          </cell>
          <cell r="Q5">
            <v>0.06</v>
          </cell>
          <cell r="R5" t="str">
            <v>Mocha</v>
          </cell>
          <cell r="S5" t="str">
            <v>LED</v>
          </cell>
          <cell r="T5" t="str">
            <v>AI</v>
          </cell>
          <cell r="U5" t="str">
            <v>Power Steam</v>
          </cell>
          <cell r="V5" t="str">
            <v>Eco Inverter Motor</v>
          </cell>
          <cell r="W5" t="str">
            <v>Aqua Energie</v>
          </cell>
          <cell r="X5" t="str">
            <v>3D Wash System</v>
          </cell>
          <cell r="Y5" t="str">
            <v>Refresh</v>
          </cell>
          <cell r="Z5" t="str">
            <v>9 Swirl</v>
          </cell>
          <cell r="AA5" t="str">
            <v>WiFi</v>
          </cell>
          <cell r="AB5" t="str">
            <v>Voice</v>
          </cell>
          <cell r="AD5" t="str">
            <v>Auto Imbalance Vibration</v>
          </cell>
          <cell r="AE5" t="str">
            <v>High Low Voltage Protection</v>
          </cell>
          <cell r="AF5" t="str">
            <v>Foam Detection</v>
          </cell>
          <cell r="AG5" t="str">
            <v>Auto Restart</v>
          </cell>
          <cell r="AH5" t="str">
            <v>Self Diagnosis</v>
          </cell>
          <cell r="AI5" t="str">
            <v>Steam</v>
          </cell>
          <cell r="AJ5" t="str">
            <v>Prewash</v>
          </cell>
          <cell r="AK5" t="str">
            <v>Warm Soak</v>
          </cell>
          <cell r="AL5" t="str">
            <v>Extra Rinse</v>
          </cell>
          <cell r="AM5" t="str">
            <v>Hot Rinse</v>
          </cell>
          <cell r="AN5" t="str">
            <v>Anticrease</v>
          </cell>
          <cell r="AO5" t="str">
            <v>A++</v>
          </cell>
        </row>
        <row r="6">
          <cell r="B6" t="str">
            <v>Executive MXC 9014</v>
          </cell>
          <cell r="C6">
            <v>8903287025358</v>
          </cell>
          <cell r="D6" t="str">
            <v>EXECUTIVE MXC 9014, FLU, 60990</v>
          </cell>
          <cell r="E6" t="str">
            <v>WM</v>
          </cell>
          <cell r="F6" t="str">
            <v>FLM</v>
          </cell>
          <cell r="G6" t="str">
            <v>https://www.ifbappliances.com/executive-mxc-9014</v>
          </cell>
          <cell r="H6">
            <v>60990</v>
          </cell>
          <cell r="I6">
            <v>60990</v>
          </cell>
          <cell r="J6">
            <v>53671.199999999997</v>
          </cell>
          <cell r="K6" t="str">
            <v>IFB</v>
          </cell>
          <cell r="L6">
            <v>9</v>
          </cell>
          <cell r="M6">
            <v>1400</v>
          </cell>
          <cell r="N6">
            <v>76</v>
          </cell>
          <cell r="O6">
            <v>5</v>
          </cell>
          <cell r="P6">
            <v>8.9</v>
          </cell>
          <cell r="Q6">
            <v>0.06</v>
          </cell>
          <cell r="R6" t="str">
            <v>Mocha</v>
          </cell>
          <cell r="S6" t="str">
            <v>LED</v>
          </cell>
          <cell r="T6" t="str">
            <v>AI</v>
          </cell>
          <cell r="U6" t="str">
            <v>Power Steam</v>
          </cell>
          <cell r="V6" t="str">
            <v>Eco Inverter Motor</v>
          </cell>
          <cell r="W6" t="str">
            <v>Aqua Energie</v>
          </cell>
          <cell r="X6" t="str">
            <v>Oxyjet</v>
          </cell>
          <cell r="Y6" t="str">
            <v>Refresh</v>
          </cell>
          <cell r="Z6" t="str">
            <v>9 Swirl</v>
          </cell>
          <cell r="AA6" t="str">
            <v>WiFi</v>
          </cell>
          <cell r="AB6" t="str">
            <v>Voice</v>
          </cell>
          <cell r="AD6" t="str">
            <v>Auto Imbalance Vibration</v>
          </cell>
          <cell r="AE6" t="str">
            <v>High Low Voltage Protection</v>
          </cell>
          <cell r="AF6" t="str">
            <v>Foam Detection</v>
          </cell>
          <cell r="AG6" t="str">
            <v>Auto Restart</v>
          </cell>
          <cell r="AH6" t="str">
            <v>Self Diagnosis</v>
          </cell>
          <cell r="AI6" t="str">
            <v>Steam</v>
          </cell>
          <cell r="AJ6" t="str">
            <v>Prewash</v>
          </cell>
          <cell r="AK6" t="str">
            <v>Warm Soak</v>
          </cell>
          <cell r="AL6" t="str">
            <v>Extra Rinse</v>
          </cell>
          <cell r="AM6" t="str">
            <v>Hot Rinse</v>
          </cell>
          <cell r="AN6" t="str">
            <v>Anticrease</v>
          </cell>
          <cell r="AO6" t="str">
            <v>A++</v>
          </cell>
        </row>
        <row r="7">
          <cell r="B7" t="str">
            <v>Senator WSS STEAM</v>
          </cell>
          <cell r="C7">
            <v>8903287024788</v>
          </cell>
          <cell r="D7" t="str">
            <v>SENATOR WSS STEAM, FLU, 51690</v>
          </cell>
          <cell r="E7" t="str">
            <v>WM</v>
          </cell>
          <cell r="F7" t="str">
            <v>FLM</v>
          </cell>
          <cell r="G7" t="str">
            <v>https://www.ifbappliances.com/senator-wss-steam-8-kg-1400-rpm</v>
          </cell>
          <cell r="H7">
            <v>51690</v>
          </cell>
          <cell r="I7">
            <v>51690</v>
          </cell>
          <cell r="J7">
            <v>45487.199999999997</v>
          </cell>
          <cell r="K7" t="str">
            <v>IFB</v>
          </cell>
          <cell r="L7">
            <v>8</v>
          </cell>
          <cell r="M7">
            <v>1400</v>
          </cell>
          <cell r="N7">
            <v>75</v>
          </cell>
          <cell r="O7">
            <v>5</v>
          </cell>
          <cell r="P7">
            <v>8.9</v>
          </cell>
          <cell r="Q7">
            <v>8.8999999999999996E-2</v>
          </cell>
          <cell r="R7" t="str">
            <v>Silver</v>
          </cell>
          <cell r="S7" t="str">
            <v>LED</v>
          </cell>
          <cell r="T7" t="str">
            <v>AI</v>
          </cell>
          <cell r="U7" t="str">
            <v>Power Steam</v>
          </cell>
          <cell r="W7" t="str">
            <v>Aqua Energie</v>
          </cell>
          <cell r="X7" t="str">
            <v>4D Wash System</v>
          </cell>
          <cell r="AD7" t="str">
            <v>Auto Imbalance Vibration</v>
          </cell>
          <cell r="AE7" t="str">
            <v>High Low Voltage Protection</v>
          </cell>
          <cell r="AF7" t="str">
            <v>Foam Detection</v>
          </cell>
          <cell r="AG7" t="str">
            <v>Auto Restart</v>
          </cell>
          <cell r="AH7" t="str">
            <v>Self Diagnosis</v>
          </cell>
          <cell r="AI7" t="str">
            <v>Steam</v>
          </cell>
          <cell r="AJ7" t="str">
            <v>Prewash</v>
          </cell>
          <cell r="AL7" t="str">
            <v>Extra Rinse</v>
          </cell>
          <cell r="AN7" t="str">
            <v>Anticrease</v>
          </cell>
          <cell r="AO7" t="str">
            <v>A+</v>
          </cell>
        </row>
        <row r="8">
          <cell r="B8" t="str">
            <v>Senorita SXS 6510</v>
          </cell>
          <cell r="C8">
            <v>8903287025433</v>
          </cell>
          <cell r="D8" t="str">
            <v>SENORITA SXS 6510, FLU, 40490</v>
          </cell>
          <cell r="E8" t="str">
            <v>WM</v>
          </cell>
          <cell r="F8" t="str">
            <v>FLM</v>
          </cell>
          <cell r="G8" t="str">
            <v>https://www.ifbappliances.com/senorita-sxs</v>
          </cell>
          <cell r="H8">
            <v>40490</v>
          </cell>
          <cell r="I8">
            <v>40490</v>
          </cell>
          <cell r="J8">
            <v>35631.199999999997</v>
          </cell>
          <cell r="K8" t="str">
            <v>IFB</v>
          </cell>
          <cell r="L8">
            <v>6.5</v>
          </cell>
          <cell r="M8">
            <v>1000</v>
          </cell>
          <cell r="N8">
            <v>65</v>
          </cell>
          <cell r="O8">
            <v>5</v>
          </cell>
          <cell r="P8">
            <v>8.9</v>
          </cell>
          <cell r="Q8">
            <v>8.8999999999999996E-2</v>
          </cell>
          <cell r="R8" t="str">
            <v>Silver</v>
          </cell>
          <cell r="S8" t="str">
            <v>LED</v>
          </cell>
          <cell r="T8" t="str">
            <v>AI</v>
          </cell>
          <cell r="U8" t="str">
            <v>Power Steam</v>
          </cell>
          <cell r="W8" t="str">
            <v>Aqua Energie</v>
          </cell>
          <cell r="X8" t="str">
            <v>3D Wash System</v>
          </cell>
          <cell r="AD8" t="str">
            <v>Auto Imbalance Vibration</v>
          </cell>
          <cell r="AE8" t="str">
            <v>High Low Voltage Protection</v>
          </cell>
          <cell r="AF8" t="str">
            <v>Foam Detection</v>
          </cell>
          <cell r="AG8" t="str">
            <v>Auto Restart</v>
          </cell>
          <cell r="AH8" t="str">
            <v>Self Diagnosis</v>
          </cell>
          <cell r="AI8" t="str">
            <v>Steam</v>
          </cell>
          <cell r="AJ8" t="str">
            <v>Prewash</v>
          </cell>
          <cell r="AN8" t="str">
            <v>Anticrease</v>
          </cell>
          <cell r="AO8" t="str">
            <v>C</v>
          </cell>
        </row>
        <row r="9">
          <cell r="B9" t="str">
            <v>Senorita VXS 6510</v>
          </cell>
          <cell r="C9">
            <v>8903287025426</v>
          </cell>
          <cell r="D9" t="str">
            <v>SENORITA VXS 6510, FLU, 38990</v>
          </cell>
          <cell r="E9" t="str">
            <v>WM</v>
          </cell>
          <cell r="F9" t="str">
            <v>FLM</v>
          </cell>
          <cell r="G9" t="str">
            <v>https://www.ifbappliances.com/senorita-vxs</v>
          </cell>
          <cell r="H9">
            <v>38990</v>
          </cell>
          <cell r="I9">
            <v>38990</v>
          </cell>
          <cell r="J9">
            <v>34311.199999999997</v>
          </cell>
          <cell r="K9" t="str">
            <v>IFB</v>
          </cell>
          <cell r="L9">
            <v>6.5</v>
          </cell>
          <cell r="M9">
            <v>1000</v>
          </cell>
          <cell r="N9">
            <v>65</v>
          </cell>
          <cell r="O9">
            <v>5</v>
          </cell>
          <cell r="P9">
            <v>8.9</v>
          </cell>
          <cell r="Q9">
            <v>8.8999999999999996E-2</v>
          </cell>
          <cell r="R9" t="str">
            <v>White</v>
          </cell>
          <cell r="S9" t="str">
            <v>LED</v>
          </cell>
          <cell r="T9" t="str">
            <v>AI</v>
          </cell>
          <cell r="U9" t="str">
            <v>Power Steam</v>
          </cell>
          <cell r="W9" t="str">
            <v>Aqua Energie</v>
          </cell>
          <cell r="X9" t="str">
            <v>3D Wash System</v>
          </cell>
          <cell r="AD9" t="str">
            <v>Auto Imbalance Vibration</v>
          </cell>
          <cell r="AE9" t="str">
            <v>High Low Voltage Protection</v>
          </cell>
          <cell r="AF9" t="str">
            <v>Foam Detection</v>
          </cell>
          <cell r="AG9" t="str">
            <v>Auto Restart</v>
          </cell>
          <cell r="AH9" t="str">
            <v>Self Diagnosis</v>
          </cell>
          <cell r="AI9" t="str">
            <v>Steam</v>
          </cell>
          <cell r="AJ9" t="str">
            <v>Prewash</v>
          </cell>
          <cell r="AL9" t="str">
            <v>Extra Rinse</v>
          </cell>
          <cell r="AN9" t="str">
            <v>Anticrease</v>
          </cell>
          <cell r="AO9" t="str">
            <v>C</v>
          </cell>
        </row>
        <row r="10">
          <cell r="B10" t="str">
            <v>Serena ZSS 7010</v>
          </cell>
          <cell r="C10">
            <v>8903287025655</v>
          </cell>
          <cell r="D10" t="str">
            <v>SERENA ZSS 7010, FLU, 44490</v>
          </cell>
          <cell r="E10" t="str">
            <v>WM</v>
          </cell>
          <cell r="F10" t="str">
            <v>FLM</v>
          </cell>
          <cell r="G10" t="str">
            <v>https://www.ifbappliances.com/serena-zss</v>
          </cell>
          <cell r="H10">
            <v>44490</v>
          </cell>
          <cell r="I10">
            <v>44490</v>
          </cell>
          <cell r="J10">
            <v>39151.199999999997</v>
          </cell>
          <cell r="K10" t="str">
            <v>IFB</v>
          </cell>
          <cell r="L10">
            <v>7</v>
          </cell>
          <cell r="M10">
            <v>1000</v>
          </cell>
          <cell r="N10">
            <v>71</v>
          </cell>
          <cell r="O10">
            <v>5</v>
          </cell>
          <cell r="P10">
            <v>8.9</v>
          </cell>
          <cell r="Q10">
            <v>8.8999999999999996E-2</v>
          </cell>
          <cell r="R10" t="str">
            <v>Silver</v>
          </cell>
          <cell r="S10" t="str">
            <v>LED</v>
          </cell>
          <cell r="T10" t="str">
            <v>AI</v>
          </cell>
          <cell r="U10" t="str">
            <v>Power Steam</v>
          </cell>
          <cell r="W10" t="str">
            <v>Aqua Energie</v>
          </cell>
          <cell r="X10" t="str">
            <v>3D Wash System</v>
          </cell>
          <cell r="AD10" t="str">
            <v>Auto Imbalance Vibration</v>
          </cell>
          <cell r="AE10" t="str">
            <v>High Low Voltage Protection</v>
          </cell>
          <cell r="AF10" t="str">
            <v>Foam Detection</v>
          </cell>
          <cell r="AG10" t="str">
            <v>Auto Restart</v>
          </cell>
          <cell r="AH10" t="str">
            <v>Self Diagnosis</v>
          </cell>
          <cell r="AN10" t="str">
            <v>Anticrease</v>
          </cell>
          <cell r="AO10" t="str">
            <v>B</v>
          </cell>
        </row>
        <row r="11">
          <cell r="B11" t="str">
            <v>Elena ZSS</v>
          </cell>
          <cell r="C11">
            <v>8903287025716</v>
          </cell>
          <cell r="D11" t="str">
            <v>ELENA ZSS 6510, FLU, 42290</v>
          </cell>
          <cell r="E11" t="str">
            <v>WM</v>
          </cell>
          <cell r="F11" t="str">
            <v>FLM</v>
          </cell>
          <cell r="G11" t="str">
            <v>https://www.ifbappliances.com/elena-zss</v>
          </cell>
          <cell r="H11">
            <v>42290</v>
          </cell>
          <cell r="I11">
            <v>42290</v>
          </cell>
          <cell r="J11">
            <v>37215.199999999997</v>
          </cell>
          <cell r="K11" t="str">
            <v>IFB</v>
          </cell>
          <cell r="L11">
            <v>6.5</v>
          </cell>
          <cell r="M11">
            <v>1000</v>
          </cell>
          <cell r="N11">
            <v>65</v>
          </cell>
          <cell r="O11">
            <v>5</v>
          </cell>
          <cell r="P11">
            <v>8.9</v>
          </cell>
          <cell r="Q11">
            <v>8.8999999999999996E-2</v>
          </cell>
          <cell r="R11" t="str">
            <v>Silver</v>
          </cell>
          <cell r="S11" t="str">
            <v>LED</v>
          </cell>
          <cell r="T11" t="str">
            <v>AI</v>
          </cell>
          <cell r="U11" t="str">
            <v>Power Steam</v>
          </cell>
          <cell r="W11" t="str">
            <v>Aqua Energie</v>
          </cell>
          <cell r="X11" t="str">
            <v>3D Wash System</v>
          </cell>
          <cell r="AD11" t="str">
            <v>Auto Imbalance Vibration</v>
          </cell>
          <cell r="AE11" t="str">
            <v>High Low Voltage Protection</v>
          </cell>
          <cell r="AF11" t="str">
            <v>Foam Detection</v>
          </cell>
          <cell r="AG11" t="str">
            <v>Auto Restart</v>
          </cell>
          <cell r="AH11" t="str">
            <v>Self Diagnosis</v>
          </cell>
          <cell r="AI11" t="str">
            <v>Steam</v>
          </cell>
          <cell r="AJ11" t="str">
            <v>Prewash</v>
          </cell>
          <cell r="AL11" t="str">
            <v>Extra Rinse</v>
          </cell>
          <cell r="AN11" t="str">
            <v>Anticrease</v>
          </cell>
          <cell r="AO11" t="str">
            <v>B</v>
          </cell>
        </row>
        <row r="12">
          <cell r="B12" t="str">
            <v>Diva Aqua VSS 7010</v>
          </cell>
          <cell r="C12">
            <v>8903287026249</v>
          </cell>
          <cell r="D12" t="str">
            <v>DIVA AQUA VSS 7010, FLU, 37990</v>
          </cell>
          <cell r="E12" t="str">
            <v>WM</v>
          </cell>
          <cell r="F12" t="str">
            <v>FLM</v>
          </cell>
          <cell r="G12" t="str">
            <v>https://www.ifbappliances.com/diva-aqua-vss-7010</v>
          </cell>
          <cell r="H12">
            <v>37990</v>
          </cell>
          <cell r="I12">
            <v>37990</v>
          </cell>
          <cell r="J12">
            <v>33431.199999999997</v>
          </cell>
          <cell r="K12" t="str">
            <v>IFB</v>
          </cell>
          <cell r="L12">
            <v>7</v>
          </cell>
          <cell r="M12">
            <v>1000</v>
          </cell>
          <cell r="N12">
            <v>65</v>
          </cell>
          <cell r="O12">
            <v>5</v>
          </cell>
          <cell r="P12">
            <v>8.9</v>
          </cell>
          <cell r="Q12">
            <v>8.8999999999999996E-2</v>
          </cell>
          <cell r="R12" t="str">
            <v>White</v>
          </cell>
          <cell r="S12" t="str">
            <v>LED</v>
          </cell>
          <cell r="T12" t="str">
            <v>AI</v>
          </cell>
          <cell r="U12" t="str">
            <v>Power Steam</v>
          </cell>
          <cell r="W12" t="str">
            <v>Aqua Energie</v>
          </cell>
          <cell r="X12" t="str">
            <v>2D Wash System</v>
          </cell>
          <cell r="AD12" t="str">
            <v>Auto Imbalance Vibration</v>
          </cell>
          <cell r="AE12" t="str">
            <v>High Low Voltage Protection</v>
          </cell>
          <cell r="AF12" t="str">
            <v>Foam Detection</v>
          </cell>
          <cell r="AG12" t="str">
            <v>Auto Restart</v>
          </cell>
          <cell r="AH12" t="str">
            <v>Self Diagnosis</v>
          </cell>
          <cell r="AI12" t="str">
            <v>Steam</v>
          </cell>
          <cell r="AN12" t="str">
            <v>Anticrease</v>
          </cell>
          <cell r="AO12" t="str">
            <v>C</v>
          </cell>
        </row>
        <row r="13">
          <cell r="B13" t="str">
            <v>Executive MSS ID</v>
          </cell>
          <cell r="C13">
            <v>8903287026324</v>
          </cell>
          <cell r="D13" t="str">
            <v>EXECUTIVE MSS ID 9014, FLU, 54690</v>
          </cell>
          <cell r="E13" t="str">
            <v>WM</v>
          </cell>
          <cell r="F13" t="str">
            <v>FLM</v>
          </cell>
          <cell r="G13" t="str">
            <v>https://www.ifbappliances.com/executive-mss-id</v>
          </cell>
          <cell r="H13">
            <v>54690</v>
          </cell>
          <cell r="I13">
            <v>54690</v>
          </cell>
          <cell r="J13">
            <v>48127.199999999997</v>
          </cell>
          <cell r="K13" t="str">
            <v>IFB</v>
          </cell>
          <cell r="L13">
            <v>9</v>
          </cell>
          <cell r="M13">
            <v>1400</v>
          </cell>
          <cell r="N13">
            <v>75</v>
          </cell>
          <cell r="O13">
            <v>5</v>
          </cell>
          <cell r="P13">
            <v>8.9</v>
          </cell>
          <cell r="Q13">
            <v>8.8999999999999996E-2</v>
          </cell>
          <cell r="R13" t="str">
            <v>Silver</v>
          </cell>
          <cell r="S13" t="str">
            <v>LED</v>
          </cell>
          <cell r="T13" t="str">
            <v>AI</v>
          </cell>
          <cell r="U13" t="str">
            <v>Power Steam</v>
          </cell>
          <cell r="V13" t="str">
            <v>Eco Inverter Motor</v>
          </cell>
          <cell r="W13" t="str">
            <v>Aqua Energie</v>
          </cell>
          <cell r="X13" t="str">
            <v>4D Wash System</v>
          </cell>
          <cell r="Z13" t="str">
            <v>9 Swirl</v>
          </cell>
          <cell r="AD13" t="str">
            <v>Auto Imbalance Vibration</v>
          </cell>
          <cell r="AE13" t="str">
            <v>High Low Voltage Protection</v>
          </cell>
          <cell r="AF13" t="str">
            <v>Foam Detection</v>
          </cell>
          <cell r="AG13" t="str">
            <v>Auto Restart</v>
          </cell>
          <cell r="AH13" t="str">
            <v>Self Diagnosis</v>
          </cell>
          <cell r="AO13" t="str">
            <v>A+</v>
          </cell>
        </row>
        <row r="14">
          <cell r="B14" t="str">
            <v>Senator Plus SRS</v>
          </cell>
          <cell r="C14">
            <v>8903287025419</v>
          </cell>
          <cell r="D14" t="str">
            <v>SENATOR PLUS SRS 8012, FLU, 48590</v>
          </cell>
          <cell r="E14" t="str">
            <v>WM</v>
          </cell>
          <cell r="F14" t="str">
            <v>FLM</v>
          </cell>
          <cell r="G14" t="str">
            <v>https://www.ifbappliances.com/senator-plus-srs</v>
          </cell>
          <cell r="H14">
            <v>48590</v>
          </cell>
          <cell r="I14">
            <v>48590</v>
          </cell>
          <cell r="J14">
            <v>42759.199999999997</v>
          </cell>
          <cell r="K14" t="str">
            <v>IFB</v>
          </cell>
          <cell r="L14">
            <v>8</v>
          </cell>
          <cell r="M14">
            <v>1200</v>
          </cell>
          <cell r="N14">
            <v>75</v>
          </cell>
          <cell r="O14">
            <v>5</v>
          </cell>
          <cell r="P14">
            <v>8.9</v>
          </cell>
          <cell r="Q14">
            <v>8.8999999999999996E-2</v>
          </cell>
          <cell r="R14" t="str">
            <v>Silver</v>
          </cell>
          <cell r="S14" t="str">
            <v>LED</v>
          </cell>
          <cell r="T14" t="str">
            <v>AI</v>
          </cell>
          <cell r="U14" t="str">
            <v>Power Steam</v>
          </cell>
          <cell r="W14" t="str">
            <v>Aqua Energie</v>
          </cell>
          <cell r="X14" t="str">
            <v>3D Wash System</v>
          </cell>
          <cell r="AD14" t="str">
            <v>Auto Imbalance Vibration</v>
          </cell>
          <cell r="AE14" t="str">
            <v>High Low Voltage Protection</v>
          </cell>
          <cell r="AF14" t="str">
            <v>Foam Detection</v>
          </cell>
          <cell r="AG14" t="str">
            <v>Auto Restart</v>
          </cell>
          <cell r="AH14" t="str">
            <v>Self Diagnosis</v>
          </cell>
          <cell r="AI14" t="str">
            <v>Steam</v>
          </cell>
          <cell r="AJ14" t="str">
            <v>Prewash</v>
          </cell>
          <cell r="AL14" t="str">
            <v>Extra Rinse</v>
          </cell>
          <cell r="AN14" t="str">
            <v>Anticrease</v>
          </cell>
          <cell r="AO14" t="str">
            <v>A</v>
          </cell>
        </row>
        <row r="15">
          <cell r="B15" t="str">
            <v>Senator MXS</v>
          </cell>
          <cell r="C15">
            <v>8903287025570</v>
          </cell>
          <cell r="D15" t="str">
            <v>SENATOR MXS 8012, FLU, 49990</v>
          </cell>
          <cell r="E15" t="str">
            <v>WM</v>
          </cell>
          <cell r="F15" t="str">
            <v>FLM</v>
          </cell>
          <cell r="G15" t="str">
            <v>https://www.ifbappliances.com/senator-mxs</v>
          </cell>
          <cell r="H15">
            <v>49990</v>
          </cell>
          <cell r="I15">
            <v>49990</v>
          </cell>
          <cell r="J15">
            <v>43991.199999999997</v>
          </cell>
          <cell r="K15" t="str">
            <v>IFB</v>
          </cell>
          <cell r="L15">
            <v>8</v>
          </cell>
          <cell r="M15">
            <v>1200</v>
          </cell>
          <cell r="N15">
            <v>75</v>
          </cell>
          <cell r="O15">
            <v>5</v>
          </cell>
          <cell r="P15">
            <v>8.9</v>
          </cell>
          <cell r="Q15">
            <v>8.8999999999999996E-2</v>
          </cell>
          <cell r="R15" t="str">
            <v>Mocha</v>
          </cell>
          <cell r="S15" t="str">
            <v>LED</v>
          </cell>
          <cell r="T15" t="str">
            <v>AI</v>
          </cell>
          <cell r="U15" t="str">
            <v>Power Steam</v>
          </cell>
          <cell r="W15" t="str">
            <v>Aqua Energie</v>
          </cell>
          <cell r="X15" t="str">
            <v>3D Wash System</v>
          </cell>
          <cell r="AD15" t="str">
            <v>Auto Imbalance Vibration</v>
          </cell>
          <cell r="AE15" t="str">
            <v>High Low Voltage Protection</v>
          </cell>
          <cell r="AF15" t="str">
            <v>Foam Detection</v>
          </cell>
          <cell r="AG15" t="str">
            <v>Auto Restart</v>
          </cell>
          <cell r="AH15" t="str">
            <v>Self Diagnosis</v>
          </cell>
          <cell r="AI15" t="str">
            <v>Steam</v>
          </cell>
          <cell r="AJ15" t="str">
            <v>Prewash</v>
          </cell>
          <cell r="AL15" t="str">
            <v>Extra Rinse</v>
          </cell>
          <cell r="AN15" t="str">
            <v>Anticrease</v>
          </cell>
          <cell r="AO15" t="str">
            <v>A</v>
          </cell>
        </row>
        <row r="16">
          <cell r="B16" t="str">
            <v>Senator SXS</v>
          </cell>
          <cell r="C16">
            <v>8903287025587</v>
          </cell>
          <cell r="D16" t="str">
            <v>SENATOR SXS 8012, FLU, 47990</v>
          </cell>
          <cell r="E16" t="str">
            <v>WM</v>
          </cell>
          <cell r="F16" t="str">
            <v>FLM</v>
          </cell>
          <cell r="G16" t="str">
            <v>https://www.ifbappliances.com/senator-sxs</v>
          </cell>
          <cell r="H16">
            <v>47990</v>
          </cell>
          <cell r="I16">
            <v>47990</v>
          </cell>
          <cell r="J16">
            <v>42231.199999999997</v>
          </cell>
          <cell r="K16" t="str">
            <v>IFB</v>
          </cell>
          <cell r="L16">
            <v>8</v>
          </cell>
          <cell r="M16">
            <v>1200</v>
          </cell>
          <cell r="N16">
            <v>71</v>
          </cell>
          <cell r="O16">
            <v>5</v>
          </cell>
          <cell r="P16">
            <v>8.9</v>
          </cell>
          <cell r="Q16">
            <v>8.8999999999999996E-2</v>
          </cell>
          <cell r="R16" t="str">
            <v>Silver</v>
          </cell>
          <cell r="S16" t="str">
            <v>LED</v>
          </cell>
          <cell r="T16" t="str">
            <v>AI</v>
          </cell>
          <cell r="U16" t="str">
            <v>Power Steam</v>
          </cell>
          <cell r="W16" t="str">
            <v>Aqua Energie</v>
          </cell>
          <cell r="X16" t="str">
            <v>3D Wash System</v>
          </cell>
          <cell r="AD16" t="str">
            <v>Auto Imbalance Vibration</v>
          </cell>
          <cell r="AE16" t="str">
            <v>High Low Voltage Protection</v>
          </cell>
          <cell r="AF16" t="str">
            <v>Foam Detection</v>
          </cell>
          <cell r="AG16" t="str">
            <v>Auto Restart</v>
          </cell>
          <cell r="AH16" t="str">
            <v>Self Diagnosis</v>
          </cell>
          <cell r="AI16" t="str">
            <v>Steam</v>
          </cell>
          <cell r="AJ16" t="str">
            <v>Prewash</v>
          </cell>
          <cell r="AL16" t="str">
            <v>Extra Rinse</v>
          </cell>
          <cell r="AN16" t="str">
            <v>Anticrease</v>
          </cell>
          <cell r="AO16" t="str">
            <v>B</v>
          </cell>
        </row>
        <row r="17">
          <cell r="B17" t="str">
            <v>Neo Diva SXS 6010</v>
          </cell>
          <cell r="C17">
            <v>8903287025747</v>
          </cell>
          <cell r="D17" t="str">
            <v>NEO DIVA SXS 6010, FLU, 35890</v>
          </cell>
          <cell r="E17" t="str">
            <v>WM</v>
          </cell>
          <cell r="F17" t="str">
            <v>FLM</v>
          </cell>
          <cell r="G17" t="str">
            <v>https://www.ifbappliances.com/neo-diva-sxs-6-kg</v>
          </cell>
          <cell r="H17">
            <v>35890</v>
          </cell>
          <cell r="I17">
            <v>35890</v>
          </cell>
          <cell r="J17">
            <v>31583.200000000001</v>
          </cell>
          <cell r="K17" t="str">
            <v>IFB</v>
          </cell>
          <cell r="L17">
            <v>6</v>
          </cell>
          <cell r="M17">
            <v>1000</v>
          </cell>
          <cell r="N17">
            <v>65</v>
          </cell>
          <cell r="O17">
            <v>5</v>
          </cell>
          <cell r="P17">
            <v>8.9</v>
          </cell>
          <cell r="Q17">
            <v>8.8999999999999996E-2</v>
          </cell>
          <cell r="S17" t="str">
            <v>LED</v>
          </cell>
          <cell r="T17" t="str">
            <v>AI</v>
          </cell>
          <cell r="U17" t="str">
            <v>Power Steam</v>
          </cell>
          <cell r="W17" t="str">
            <v>Aqua Energie</v>
          </cell>
          <cell r="X17" t="str">
            <v>2D Wash System</v>
          </cell>
          <cell r="AD17" t="str">
            <v>Auto Imbalance Vibration</v>
          </cell>
          <cell r="AE17" t="str">
            <v>High Low Voltage Protection</v>
          </cell>
          <cell r="AF17" t="str">
            <v>Foam Detection</v>
          </cell>
          <cell r="AG17" t="str">
            <v>Auto Restart</v>
          </cell>
          <cell r="AH17" t="str">
            <v>Self Diagnosis</v>
          </cell>
          <cell r="AI17" t="str">
            <v>Steam</v>
          </cell>
          <cell r="AN17" t="str">
            <v>Anticrease</v>
          </cell>
          <cell r="AO17" t="str">
            <v>C</v>
          </cell>
        </row>
        <row r="18">
          <cell r="B18" t="str">
            <v>Elite ZSS</v>
          </cell>
          <cell r="C18">
            <v>8903287026065</v>
          </cell>
          <cell r="D18" t="str">
            <v>ELITE ZSS 7012, FLU, 45690</v>
          </cell>
          <cell r="E18" t="str">
            <v>WM</v>
          </cell>
          <cell r="F18" t="str">
            <v>FLM</v>
          </cell>
          <cell r="G18" t="str">
            <v>https://www.ifbappliances.com/elite-zss</v>
          </cell>
          <cell r="H18">
            <v>45690</v>
          </cell>
          <cell r="I18">
            <v>45690</v>
          </cell>
          <cell r="J18">
            <v>40207.199999999997</v>
          </cell>
          <cell r="K18" t="str">
            <v>IFB</v>
          </cell>
          <cell r="L18">
            <v>7</v>
          </cell>
          <cell r="M18">
            <v>1200</v>
          </cell>
          <cell r="N18">
            <v>71</v>
          </cell>
          <cell r="R18" t="str">
            <v>Silver</v>
          </cell>
          <cell r="S18" t="str">
            <v>LED</v>
          </cell>
          <cell r="T18" t="str">
            <v>AI</v>
          </cell>
          <cell r="U18" t="str">
            <v>Power Steam</v>
          </cell>
          <cell r="W18" t="str">
            <v>Aqua Energie</v>
          </cell>
          <cell r="X18" t="str">
            <v>3D Wash System</v>
          </cell>
          <cell r="AD18" t="str">
            <v>Auto Imbalance Vibration</v>
          </cell>
          <cell r="AE18" t="str">
            <v>High Low Voltage Protection</v>
          </cell>
          <cell r="AF18" t="str">
            <v>Foam Detection</v>
          </cell>
          <cell r="AG18" t="str">
            <v>Auto Restart</v>
          </cell>
          <cell r="AH18" t="str">
            <v>Self Diagnosis</v>
          </cell>
          <cell r="AI18" t="str">
            <v>Steam</v>
          </cell>
          <cell r="AJ18" t="str">
            <v>Prewash</v>
          </cell>
          <cell r="AL18" t="str">
            <v>Extra Rinse</v>
          </cell>
          <cell r="AN18" t="str">
            <v>Anticrease</v>
          </cell>
          <cell r="AO18" t="str">
            <v>B</v>
          </cell>
        </row>
        <row r="19">
          <cell r="B19" t="str">
            <v>Senator MXS 8014</v>
          </cell>
          <cell r="C19">
            <v>8903287026409</v>
          </cell>
          <cell r="D19" t="str">
            <v>SENATOR MXS 8014, FLU, 52990</v>
          </cell>
          <cell r="E19" t="str">
            <v>WM</v>
          </cell>
          <cell r="F19" t="str">
            <v>FLM</v>
          </cell>
          <cell r="G19" t="str">
            <v>https://www.ifbappliances.com/senator-mxs-8014</v>
          </cell>
          <cell r="H19">
            <v>52990</v>
          </cell>
          <cell r="I19">
            <v>52990</v>
          </cell>
          <cell r="J19">
            <v>46631.199999999997</v>
          </cell>
          <cell r="K19" t="str">
            <v>IFB</v>
          </cell>
          <cell r="L19">
            <v>8</v>
          </cell>
          <cell r="M19">
            <v>1400</v>
          </cell>
          <cell r="N19">
            <v>75</v>
          </cell>
          <cell r="O19">
            <v>5</v>
          </cell>
          <cell r="P19">
            <v>8.9</v>
          </cell>
          <cell r="Q19">
            <v>8.8999999999999996E-2</v>
          </cell>
          <cell r="R19" t="str">
            <v>Mocha</v>
          </cell>
          <cell r="S19" t="str">
            <v>LED</v>
          </cell>
          <cell r="T19" t="str">
            <v>AI</v>
          </cell>
          <cell r="U19" t="str">
            <v>Power Steam</v>
          </cell>
          <cell r="W19" t="str">
            <v>Aqua Energie</v>
          </cell>
          <cell r="X19" t="str">
            <v>4D Wash System</v>
          </cell>
          <cell r="AD19" t="str">
            <v>Auto Imbalance Vibration</v>
          </cell>
          <cell r="AE19" t="str">
            <v>High Low Voltage Protection</v>
          </cell>
          <cell r="AF19" t="str">
            <v>Foam Detection</v>
          </cell>
          <cell r="AG19" t="str">
            <v>Auto Restart</v>
          </cell>
          <cell r="AH19" t="str">
            <v>Self Diagnosis</v>
          </cell>
          <cell r="AI19" t="str">
            <v>Steam</v>
          </cell>
          <cell r="AJ19" t="str">
            <v>Prewash</v>
          </cell>
          <cell r="AL19" t="str">
            <v>Extra Rinse</v>
          </cell>
          <cell r="AN19" t="str">
            <v>Anticrease</v>
          </cell>
          <cell r="AO19" t="str">
            <v>A+</v>
          </cell>
        </row>
        <row r="20">
          <cell r="B20" t="str">
            <v>Senator ZMS</v>
          </cell>
          <cell r="C20">
            <v>8903287030192</v>
          </cell>
          <cell r="D20" t="str">
            <v>SENATOR ZMS 8012, FLU, 47990</v>
          </cell>
          <cell r="E20" t="str">
            <v>WM</v>
          </cell>
          <cell r="F20" t="str">
            <v>FLM</v>
          </cell>
          <cell r="G20" t="str">
            <v>https://www.ifbappliances.com/senator-zms</v>
          </cell>
          <cell r="H20">
            <v>47990</v>
          </cell>
          <cell r="I20">
            <v>47990</v>
          </cell>
          <cell r="J20">
            <v>42231.199999999997</v>
          </cell>
          <cell r="K20" t="str">
            <v>IFB</v>
          </cell>
          <cell r="L20">
            <v>8</v>
          </cell>
          <cell r="M20">
            <v>1200</v>
          </cell>
          <cell r="N20">
            <v>75</v>
          </cell>
          <cell r="O20">
            <v>5</v>
          </cell>
          <cell r="P20">
            <v>8.9</v>
          </cell>
          <cell r="Q20">
            <v>8.8999999999999996E-2</v>
          </cell>
          <cell r="R20" t="str">
            <v>Silver</v>
          </cell>
          <cell r="S20" t="str">
            <v>LED</v>
          </cell>
          <cell r="T20" t="str">
            <v>AI</v>
          </cell>
          <cell r="U20" t="str">
            <v>Power Steam</v>
          </cell>
          <cell r="W20" t="str">
            <v>Aqua Energie</v>
          </cell>
          <cell r="X20" t="str">
            <v>3D Wash System</v>
          </cell>
          <cell r="AD20" t="str">
            <v>Auto Imbalance Vibration</v>
          </cell>
          <cell r="AE20" t="str">
            <v>High Low Voltage Protection</v>
          </cell>
          <cell r="AF20" t="str">
            <v>Foam Detection</v>
          </cell>
          <cell r="AG20" t="str">
            <v>Auto Restart</v>
          </cell>
          <cell r="AH20" t="str">
            <v>Self Diagnosis</v>
          </cell>
          <cell r="AI20" t="str">
            <v>Steam</v>
          </cell>
          <cell r="AJ20" t="str">
            <v>Prewash</v>
          </cell>
          <cell r="AL20" t="str">
            <v>Extra Rinse</v>
          </cell>
          <cell r="AO20" t="str">
            <v>B</v>
          </cell>
        </row>
        <row r="21">
          <cell r="B21" t="str">
            <v>Senator Plus SXS</v>
          </cell>
          <cell r="C21">
            <v>8903287025600</v>
          </cell>
          <cell r="D21" t="str">
            <v>SENATOR PLUS SXS 8014, FLU, 50690</v>
          </cell>
          <cell r="E21" t="str">
            <v>WM</v>
          </cell>
          <cell r="F21" t="str">
            <v>FLM</v>
          </cell>
          <cell r="G21" t="str">
            <v>https://www.ifbappliances.com/senator-plus-sxs</v>
          </cell>
          <cell r="H21">
            <v>50690</v>
          </cell>
          <cell r="I21">
            <v>50690</v>
          </cell>
          <cell r="J21">
            <v>44607.199999999997</v>
          </cell>
          <cell r="K21" t="str">
            <v>IFB</v>
          </cell>
          <cell r="L21">
            <v>8</v>
          </cell>
          <cell r="M21">
            <v>1400</v>
          </cell>
          <cell r="N21">
            <v>75</v>
          </cell>
          <cell r="O21">
            <v>5</v>
          </cell>
          <cell r="P21">
            <v>8.9</v>
          </cell>
          <cell r="Q21">
            <v>8.8999999999999996E-2</v>
          </cell>
          <cell r="R21" t="str">
            <v>Silver</v>
          </cell>
          <cell r="S21" t="str">
            <v>LED</v>
          </cell>
          <cell r="T21" t="str">
            <v>AI</v>
          </cell>
          <cell r="U21" t="str">
            <v>Power Steam</v>
          </cell>
          <cell r="W21" t="str">
            <v>Aqua Energie</v>
          </cell>
          <cell r="X21" t="str">
            <v>4D Wash System</v>
          </cell>
          <cell r="AD21" t="str">
            <v>Auto Imbalance Vibration</v>
          </cell>
          <cell r="AE21" t="str">
            <v>High Low Voltage Protection</v>
          </cell>
          <cell r="AF21" t="str">
            <v>Foam Detection</v>
          </cell>
          <cell r="AG21" t="str">
            <v>Auto Restart</v>
          </cell>
          <cell r="AH21" t="str">
            <v>Self Diagnosis</v>
          </cell>
          <cell r="AI21" t="str">
            <v>Steam</v>
          </cell>
          <cell r="AJ21" t="str">
            <v>Prewash</v>
          </cell>
          <cell r="AL21" t="str">
            <v>Extra Rinse</v>
          </cell>
          <cell r="AN21" t="str">
            <v>Anticrease</v>
          </cell>
          <cell r="AO21" t="str">
            <v>A</v>
          </cell>
        </row>
        <row r="22">
          <cell r="B22" t="str">
            <v>Senator Plus MXS</v>
          </cell>
          <cell r="C22">
            <v>8903287026195</v>
          </cell>
          <cell r="D22" t="str">
            <v>SENATOR PLUS MXS 8KG, FLU, 53990</v>
          </cell>
          <cell r="E22" t="str">
            <v>WM</v>
          </cell>
          <cell r="F22" t="str">
            <v>FLM</v>
          </cell>
          <cell r="G22" t="str">
            <v>https://www.ifbappliances.com/senator-plus-mxs</v>
          </cell>
          <cell r="H22">
            <v>53990</v>
          </cell>
          <cell r="I22">
            <v>53990</v>
          </cell>
          <cell r="J22">
            <v>47511.199999999997</v>
          </cell>
          <cell r="K22" t="str">
            <v>IFB</v>
          </cell>
          <cell r="L22">
            <v>8</v>
          </cell>
          <cell r="M22">
            <v>1400</v>
          </cell>
          <cell r="N22">
            <v>75</v>
          </cell>
          <cell r="O22">
            <v>5</v>
          </cell>
          <cell r="P22">
            <v>8.9</v>
          </cell>
          <cell r="Q22">
            <v>8.8999999999999996E-2</v>
          </cell>
          <cell r="R22" t="str">
            <v>Mocha</v>
          </cell>
          <cell r="S22" t="str">
            <v>LED</v>
          </cell>
          <cell r="T22" t="str">
            <v>AI</v>
          </cell>
          <cell r="U22" t="str">
            <v>Power Steam</v>
          </cell>
          <cell r="W22" t="str">
            <v>Aqua Energie</v>
          </cell>
          <cell r="X22" t="str">
            <v>4D Wash System</v>
          </cell>
          <cell r="Y22" t="str">
            <v>Refresh</v>
          </cell>
          <cell r="AD22" t="str">
            <v>Auto Imbalance Vibration</v>
          </cell>
          <cell r="AE22" t="str">
            <v>High Low Voltage Protection</v>
          </cell>
          <cell r="AF22" t="str">
            <v>Foam Detection</v>
          </cell>
          <cell r="AG22" t="str">
            <v>Auto Restart</v>
          </cell>
          <cell r="AH22" t="str">
            <v>Self Diagnosis</v>
          </cell>
          <cell r="AI22" t="str">
            <v>Steam</v>
          </cell>
          <cell r="AJ22" t="str">
            <v>Prewash</v>
          </cell>
          <cell r="AL22" t="str">
            <v>Extra Rinse</v>
          </cell>
          <cell r="AN22" t="str">
            <v>Anticrease</v>
          </cell>
          <cell r="AO22" t="str">
            <v>A+</v>
          </cell>
        </row>
        <row r="23">
          <cell r="B23" t="str">
            <v>Neo Diva SXS 7010</v>
          </cell>
          <cell r="C23">
            <v>8903287025624</v>
          </cell>
          <cell r="D23" t="str">
            <v>NEO DIVA SXS 7010, FLU, 42490</v>
          </cell>
          <cell r="E23" t="str">
            <v>WM</v>
          </cell>
          <cell r="F23" t="str">
            <v>FLM</v>
          </cell>
          <cell r="G23" t="str">
            <v>https://www.ifbappliances.com/neo-diva-sxs-7010</v>
          </cell>
          <cell r="H23">
            <v>42490</v>
          </cell>
          <cell r="I23">
            <v>42490</v>
          </cell>
          <cell r="J23">
            <v>37391.199999999997</v>
          </cell>
          <cell r="K23" t="str">
            <v>IFB</v>
          </cell>
          <cell r="L23">
            <v>7</v>
          </cell>
          <cell r="M23">
            <v>1000</v>
          </cell>
          <cell r="N23">
            <v>69</v>
          </cell>
          <cell r="R23" t="str">
            <v>Silver</v>
          </cell>
          <cell r="S23" t="str">
            <v>LED</v>
          </cell>
          <cell r="T23" t="str">
            <v>AI</v>
          </cell>
          <cell r="U23" t="str">
            <v>Power Steam</v>
          </cell>
          <cell r="W23" t="str">
            <v>Aqua Energie</v>
          </cell>
          <cell r="X23" t="str">
            <v>3D Wash System</v>
          </cell>
          <cell r="AD23" t="str">
            <v>Auto Imbalance Vibration</v>
          </cell>
          <cell r="AE23" t="str">
            <v>High Low Voltage Protection</v>
          </cell>
          <cell r="AF23" t="str">
            <v>Foam Detection</v>
          </cell>
          <cell r="AG23" t="str">
            <v>Auto Restart</v>
          </cell>
          <cell r="AH23" t="str">
            <v>Self Diagnosis</v>
          </cell>
          <cell r="AO23" t="str">
            <v>B</v>
          </cell>
        </row>
        <row r="24">
          <cell r="B24" t="str">
            <v>Diva Aqua BXS</v>
          </cell>
          <cell r="C24">
            <v>8903287026508</v>
          </cell>
          <cell r="D24" t="str">
            <v>DIVA AQUA BXS 6010, FLU, 31690</v>
          </cell>
          <cell r="E24" t="str">
            <v>WM</v>
          </cell>
          <cell r="F24" t="str">
            <v>FLM</v>
          </cell>
          <cell r="G24" t="str">
            <v>https://www.ifbappliances.com/diva-aqua-bxs</v>
          </cell>
          <cell r="H24">
            <v>31690</v>
          </cell>
          <cell r="I24">
            <v>31690</v>
          </cell>
          <cell r="J24">
            <v>27887.200000000001</v>
          </cell>
          <cell r="K24" t="str">
            <v>IFB</v>
          </cell>
          <cell r="L24">
            <v>6</v>
          </cell>
          <cell r="M24">
            <v>1000</v>
          </cell>
          <cell r="N24">
            <v>60</v>
          </cell>
          <cell r="O24">
            <v>5</v>
          </cell>
          <cell r="P24">
            <v>9</v>
          </cell>
          <cell r="Q24">
            <v>8.8999999999999996E-2</v>
          </cell>
          <cell r="R24" t="str">
            <v>White</v>
          </cell>
          <cell r="S24" t="str">
            <v>LED</v>
          </cell>
          <cell r="T24" t="str">
            <v>AI</v>
          </cell>
          <cell r="U24" t="str">
            <v>Power Steam</v>
          </cell>
          <cell r="W24" t="str">
            <v>Aqua Energie</v>
          </cell>
          <cell r="X24" t="str">
            <v>2D Wash System</v>
          </cell>
          <cell r="AD24" t="str">
            <v>Auto Imbalance Vibration</v>
          </cell>
          <cell r="AE24" t="str">
            <v>High Low Voltage Protection</v>
          </cell>
          <cell r="AF24" t="str">
            <v>Foam Detection</v>
          </cell>
          <cell r="AG24" t="str">
            <v>Auto Restart</v>
          </cell>
          <cell r="AH24" t="str">
            <v>Self Diagnosis</v>
          </cell>
          <cell r="AI24" t="str">
            <v>Steam</v>
          </cell>
          <cell r="AJ24" t="str">
            <v>Prewash</v>
          </cell>
          <cell r="AN24" t="str">
            <v>Anticrease</v>
          </cell>
          <cell r="AO24" t="str">
            <v>C</v>
          </cell>
        </row>
        <row r="25">
          <cell r="B25" t="str">
            <v>Diva Aqua SXS</v>
          </cell>
          <cell r="C25">
            <v>8903287026485</v>
          </cell>
          <cell r="D25" t="str">
            <v>DIVA AQUA SXS 6010, FLU, 32890</v>
          </cell>
          <cell r="E25" t="str">
            <v>WM</v>
          </cell>
          <cell r="F25" t="str">
            <v>FLM</v>
          </cell>
          <cell r="G25" t="str">
            <v>https://www.ifbappliances.com/diva-aqua-sxs-6-kg</v>
          </cell>
          <cell r="H25">
            <v>32890</v>
          </cell>
          <cell r="I25">
            <v>32890</v>
          </cell>
          <cell r="J25">
            <v>28943.200000000001</v>
          </cell>
          <cell r="K25" t="str">
            <v>IFB</v>
          </cell>
          <cell r="L25">
            <v>6</v>
          </cell>
          <cell r="M25">
            <v>1000</v>
          </cell>
          <cell r="N25">
            <v>60</v>
          </cell>
          <cell r="O25">
            <v>5</v>
          </cell>
          <cell r="P25">
            <v>9</v>
          </cell>
          <cell r="Q25">
            <v>8.8999999999999996E-2</v>
          </cell>
          <cell r="R25" t="str">
            <v>Silver</v>
          </cell>
          <cell r="S25" t="str">
            <v>LED</v>
          </cell>
          <cell r="T25" t="str">
            <v>AI</v>
          </cell>
          <cell r="U25" t="str">
            <v>Power Steam</v>
          </cell>
          <cell r="W25" t="str">
            <v>Aqua Energie</v>
          </cell>
          <cell r="X25" t="str">
            <v>2D Wash System</v>
          </cell>
          <cell r="AD25" t="str">
            <v>Auto Imbalance Vibration</v>
          </cell>
          <cell r="AE25" t="str">
            <v>High Low Voltage Protection</v>
          </cell>
          <cell r="AF25" t="str">
            <v>Foam Detection</v>
          </cell>
          <cell r="AG25" t="str">
            <v>Auto Restart</v>
          </cell>
          <cell r="AH25" t="str">
            <v>Self Diagnosis</v>
          </cell>
          <cell r="AI25" t="str">
            <v>Steam</v>
          </cell>
          <cell r="AN25" t="str">
            <v>Anticrease</v>
          </cell>
          <cell r="AO25" t="str">
            <v>C</v>
          </cell>
        </row>
        <row r="26">
          <cell r="B26" t="str">
            <v>Neo Diva VXS 6010</v>
          </cell>
          <cell r="C26">
            <v>8903287025730</v>
          </cell>
          <cell r="D26" t="str">
            <v>NEO DIVA VXS 6010, FLU, 34390</v>
          </cell>
          <cell r="E26" t="str">
            <v>WM</v>
          </cell>
          <cell r="F26" t="str">
            <v>FLM</v>
          </cell>
          <cell r="G26" t="str">
            <v>https://www.ifbappliances.com/neo-diva-vxs-6010</v>
          </cell>
          <cell r="H26">
            <v>34390</v>
          </cell>
          <cell r="I26">
            <v>34390</v>
          </cell>
          <cell r="J26">
            <v>30263.200000000001</v>
          </cell>
          <cell r="K26" t="str">
            <v>IFB</v>
          </cell>
          <cell r="L26">
            <v>6</v>
          </cell>
          <cell r="M26">
            <v>1000</v>
          </cell>
          <cell r="N26">
            <v>65</v>
          </cell>
          <cell r="O26">
            <v>5</v>
          </cell>
          <cell r="P26">
            <v>8.9</v>
          </cell>
          <cell r="Q26">
            <v>8.8999999999999996E-2</v>
          </cell>
          <cell r="R26" t="str">
            <v>White</v>
          </cell>
          <cell r="S26" t="str">
            <v>LED</v>
          </cell>
          <cell r="T26" t="str">
            <v>AI</v>
          </cell>
          <cell r="U26" t="str">
            <v>Power Steam</v>
          </cell>
          <cell r="W26" t="str">
            <v>Aqua Energie</v>
          </cell>
          <cell r="X26" t="str">
            <v>2D Wash System</v>
          </cell>
          <cell r="AD26" t="str">
            <v>Auto Imbalance Vibration</v>
          </cell>
          <cell r="AE26" t="str">
            <v>High Low Voltage Protection</v>
          </cell>
          <cell r="AF26" t="str">
            <v>Foam Detection</v>
          </cell>
          <cell r="AG26" t="str">
            <v>Auto Restart</v>
          </cell>
          <cell r="AH26" t="str">
            <v>Self Diagnosis</v>
          </cell>
          <cell r="AI26" t="str">
            <v>Steam</v>
          </cell>
          <cell r="AN26" t="str">
            <v>Anticrease</v>
          </cell>
          <cell r="AO26" t="str">
            <v>C</v>
          </cell>
        </row>
        <row r="27">
          <cell r="B27" t="str">
            <v>Executive Plus VX Eco Inverter</v>
          </cell>
          <cell r="C27">
            <v>8903287023477</v>
          </cell>
          <cell r="D27" t="str">
            <v>EXECUTIVE PLUS VX ID, FLU, 48690</v>
          </cell>
          <cell r="E27" t="str">
            <v>WM</v>
          </cell>
          <cell r="F27" t="str">
            <v>FLM</v>
          </cell>
          <cell r="G27" t="str">
            <v>https://www.ifbappliances.com/executive-plus-vx-eco-inverter</v>
          </cell>
          <cell r="H27">
            <v>48690</v>
          </cell>
          <cell r="I27">
            <v>48690</v>
          </cell>
          <cell r="J27">
            <v>46742.400000000001</v>
          </cell>
          <cell r="K27" t="str">
            <v>IFB</v>
          </cell>
          <cell r="L27">
            <v>8.5</v>
          </cell>
          <cell r="M27">
            <v>1400</v>
          </cell>
          <cell r="N27">
            <v>75</v>
          </cell>
          <cell r="O27">
            <v>5</v>
          </cell>
          <cell r="P27">
            <v>8.9</v>
          </cell>
          <cell r="Q27">
            <v>0.06</v>
          </cell>
          <cell r="R27" t="str">
            <v>White</v>
          </cell>
          <cell r="S27" t="str">
            <v>LED</v>
          </cell>
          <cell r="T27" t="str">
            <v>AI</v>
          </cell>
          <cell r="AO27" t="str">
            <v>A</v>
          </cell>
        </row>
        <row r="28">
          <cell r="B28" t="str">
            <v>Elena Plus SXS</v>
          </cell>
          <cell r="C28">
            <v>8903287026072</v>
          </cell>
          <cell r="D28" t="str">
            <v>ELENA PLUS SXS 6510, FLU, 37990</v>
          </cell>
          <cell r="E28" t="str">
            <v>WM</v>
          </cell>
          <cell r="F28" t="str">
            <v>FLM</v>
          </cell>
          <cell r="G28" t="str">
            <v>https://www.ifbappliances.com/elena-plus-sxs</v>
          </cell>
          <cell r="H28">
            <v>37990</v>
          </cell>
          <cell r="I28">
            <v>37990</v>
          </cell>
          <cell r="J28">
            <v>33431.199999999997</v>
          </cell>
          <cell r="K28" t="str">
            <v>IFB</v>
          </cell>
          <cell r="L28">
            <v>6.5</v>
          </cell>
          <cell r="M28">
            <v>1000</v>
          </cell>
          <cell r="N28">
            <v>65</v>
          </cell>
          <cell r="O28">
            <v>5</v>
          </cell>
          <cell r="P28">
            <v>8.9</v>
          </cell>
          <cell r="Q28">
            <v>8.8999999999999996E-2</v>
          </cell>
          <cell r="R28" t="str">
            <v>Silver</v>
          </cell>
          <cell r="S28" t="str">
            <v>LED</v>
          </cell>
          <cell r="T28" t="str">
            <v>AI</v>
          </cell>
          <cell r="U28" t="str">
            <v>Power Steam</v>
          </cell>
          <cell r="W28" t="str">
            <v>Aqua Energie</v>
          </cell>
          <cell r="X28" t="str">
            <v>2D Wash System</v>
          </cell>
          <cell r="AD28" t="str">
            <v>Auto Imbalance Vibration</v>
          </cell>
          <cell r="AE28" t="str">
            <v>High Low Voltage Protection</v>
          </cell>
          <cell r="AF28" t="str">
            <v>Foam Detection</v>
          </cell>
          <cell r="AG28" t="str">
            <v>Auto Restart</v>
          </cell>
          <cell r="AH28" t="str">
            <v>Self Diagnosis</v>
          </cell>
          <cell r="AI28" t="str">
            <v>Steam</v>
          </cell>
          <cell r="AJ28" t="str">
            <v>Prewash</v>
          </cell>
          <cell r="AN28" t="str">
            <v>Anticrease</v>
          </cell>
          <cell r="AO28" t="str">
            <v>C</v>
          </cell>
        </row>
        <row r="29">
          <cell r="B29" t="str">
            <v>Diva Aqua SXS 7010</v>
          </cell>
          <cell r="C29">
            <v>8903287026232</v>
          </cell>
          <cell r="D29" t="str">
            <v>DIVA AQUA SXS 7010, FLU, 39090</v>
          </cell>
          <cell r="E29" t="str">
            <v>WM</v>
          </cell>
          <cell r="F29" t="str">
            <v>FLM</v>
          </cell>
          <cell r="G29" t="str">
            <v>https://www.ifbappliances.com/diva-aqua-sxs-7010</v>
          </cell>
          <cell r="H29">
            <v>39090</v>
          </cell>
          <cell r="I29">
            <v>39090</v>
          </cell>
          <cell r="J29">
            <v>34399.199999999997</v>
          </cell>
          <cell r="K29" t="str">
            <v>IFB</v>
          </cell>
          <cell r="L29">
            <v>7</v>
          </cell>
          <cell r="M29">
            <v>1000</v>
          </cell>
          <cell r="N29">
            <v>65</v>
          </cell>
          <cell r="O29">
            <v>5</v>
          </cell>
          <cell r="P29">
            <v>8.9</v>
          </cell>
          <cell r="Q29">
            <v>8.8999999999999996E-2</v>
          </cell>
          <cell r="R29" t="str">
            <v>Silver</v>
          </cell>
          <cell r="S29" t="str">
            <v>LED</v>
          </cell>
          <cell r="U29" t="str">
            <v>Power Steam</v>
          </cell>
          <cell r="W29" t="str">
            <v>Aqua Energie</v>
          </cell>
          <cell r="X29" t="str">
            <v>2D Wash System</v>
          </cell>
          <cell r="AD29" t="str">
            <v>Auto Imbalance Vibration</v>
          </cell>
          <cell r="AE29" t="str">
            <v>High Low Voltage Protection</v>
          </cell>
          <cell r="AF29" t="str">
            <v>Foam Detection</v>
          </cell>
          <cell r="AG29" t="str">
            <v>Auto Restart</v>
          </cell>
          <cell r="AH29" t="str">
            <v>Self Diagnosis</v>
          </cell>
          <cell r="AI29" t="str">
            <v>Steam</v>
          </cell>
          <cell r="AN29" t="str">
            <v>Anticrease</v>
          </cell>
          <cell r="AO29" t="str">
            <v>C</v>
          </cell>
        </row>
        <row r="30">
          <cell r="B30" t="str">
            <v>Executive MXS ID 1014</v>
          </cell>
          <cell r="C30">
            <v>8903287026430</v>
          </cell>
          <cell r="D30" t="str">
            <v>EXECUTIVE MXS ID 1014, FLU, 57990</v>
          </cell>
          <cell r="E30" t="str">
            <v>WM</v>
          </cell>
          <cell r="F30" t="str">
            <v>FLM</v>
          </cell>
          <cell r="G30" t="str">
            <v>https://www.ifbappliances.com/executive-mxs-id-1014</v>
          </cell>
          <cell r="H30">
            <v>57990</v>
          </cell>
          <cell r="I30">
            <v>57990</v>
          </cell>
          <cell r="J30">
            <v>51031.199999999997</v>
          </cell>
          <cell r="K30" t="str">
            <v>IFB</v>
          </cell>
          <cell r="L30">
            <v>10</v>
          </cell>
          <cell r="M30">
            <v>1400</v>
          </cell>
          <cell r="N30">
            <v>76</v>
          </cell>
          <cell r="O30">
            <v>5</v>
          </cell>
          <cell r="P30">
            <v>8</v>
          </cell>
          <cell r="Q30">
            <v>6.5000000000000002E-2</v>
          </cell>
          <cell r="R30" t="str">
            <v>Mocha</v>
          </cell>
          <cell r="S30" t="str">
            <v>LED</v>
          </cell>
          <cell r="T30" t="str">
            <v>AI</v>
          </cell>
          <cell r="U30" t="str">
            <v>Power Steam</v>
          </cell>
          <cell r="V30" t="str">
            <v>Eco Inverter Motor</v>
          </cell>
          <cell r="W30" t="str">
            <v>Aqua Energie</v>
          </cell>
          <cell r="X30" t="str">
            <v>4D Wash System</v>
          </cell>
          <cell r="Y30" t="str">
            <v>Refresh</v>
          </cell>
          <cell r="AC30" t="str">
            <v>O2 Bubble Wash</v>
          </cell>
          <cell r="AD30" t="str">
            <v>Auto Imbalance Vibration</v>
          </cell>
          <cell r="AE30" t="str">
            <v>High Low Voltage Protection</v>
          </cell>
          <cell r="AF30" t="str">
            <v>Foam Detection</v>
          </cell>
          <cell r="AG30" t="str">
            <v>Auto Restart</v>
          </cell>
          <cell r="AH30" t="str">
            <v>Self Diagnosis</v>
          </cell>
          <cell r="AI30" t="str">
            <v>Steam</v>
          </cell>
          <cell r="AJ30" t="str">
            <v>Prewash</v>
          </cell>
          <cell r="AL30" t="str">
            <v>Extra Rinse</v>
          </cell>
          <cell r="AM30" t="str">
            <v>Hot Rinse</v>
          </cell>
          <cell r="AN30" t="str">
            <v>Anticrease</v>
          </cell>
          <cell r="AO30" t="str">
            <v>A++</v>
          </cell>
        </row>
        <row r="31">
          <cell r="B31" t="str">
            <v>Executive Plus VSC 1014</v>
          </cell>
          <cell r="C31">
            <v>8903287026577</v>
          </cell>
          <cell r="D31" t="str">
            <v>EXECUTIVE PLUS VSC 1014, FLU, 63990</v>
          </cell>
          <cell r="E31" t="str">
            <v>WM</v>
          </cell>
          <cell r="F31" t="str">
            <v>FLM</v>
          </cell>
          <cell r="G31" t="str">
            <v>https://www.ifbappliances.com/executive-plus-vsc-1014</v>
          </cell>
          <cell r="H31">
            <v>63990</v>
          </cell>
          <cell r="I31">
            <v>63990</v>
          </cell>
          <cell r="J31">
            <v>56311.199999999997</v>
          </cell>
          <cell r="K31" t="str">
            <v>IFB</v>
          </cell>
          <cell r="L31">
            <v>10</v>
          </cell>
          <cell r="M31">
            <v>1400</v>
          </cell>
          <cell r="N31">
            <v>76</v>
          </cell>
          <cell r="O31">
            <v>5</v>
          </cell>
          <cell r="P31">
            <v>8</v>
          </cell>
          <cell r="Q31">
            <v>6.6000000000000003E-2</v>
          </cell>
          <cell r="R31" t="str">
            <v>STS VCM</v>
          </cell>
          <cell r="S31" t="str">
            <v>LED</v>
          </cell>
          <cell r="T31" t="str">
            <v>AI</v>
          </cell>
          <cell r="U31" t="str">
            <v>Power Steam</v>
          </cell>
          <cell r="V31" t="str">
            <v>Eco Inverter Motor</v>
          </cell>
          <cell r="W31" t="str">
            <v>Aqua Energie</v>
          </cell>
          <cell r="X31" t="str">
            <v>Oxyjet</v>
          </cell>
          <cell r="Y31" t="str">
            <v>Refresh</v>
          </cell>
          <cell r="Z31" t="str">
            <v>9 Swirl</v>
          </cell>
          <cell r="AA31" t="str">
            <v>WiFi</v>
          </cell>
          <cell r="AB31" t="str">
            <v>Voice</v>
          </cell>
          <cell r="AD31" t="str">
            <v>Auto Imbalance Vibration</v>
          </cell>
          <cell r="AE31" t="str">
            <v>High Low Voltage Protection</v>
          </cell>
          <cell r="AF31" t="str">
            <v>Foam Detection</v>
          </cell>
          <cell r="AG31" t="str">
            <v>Auto Restart</v>
          </cell>
          <cell r="AH31" t="str">
            <v>Self Diagnosis</v>
          </cell>
          <cell r="AI31" t="str">
            <v>Steam</v>
          </cell>
          <cell r="AJ31" t="str">
            <v>Prewash</v>
          </cell>
          <cell r="AK31" t="str">
            <v>Warm Soak</v>
          </cell>
          <cell r="AL31" t="str">
            <v>Extra Rinse</v>
          </cell>
          <cell r="AM31" t="str">
            <v>Hot Rinse</v>
          </cell>
          <cell r="AN31" t="str">
            <v>Anticrease</v>
          </cell>
          <cell r="AO31" t="str">
            <v>A++</v>
          </cell>
        </row>
        <row r="32">
          <cell r="B32" t="str">
            <v>Diva Aqua SBS</v>
          </cell>
          <cell r="C32">
            <v>8903287026515</v>
          </cell>
          <cell r="D32" t="str">
            <v>DIVA AQUA SBS 6010, FLU, 32290</v>
          </cell>
          <cell r="E32" t="str">
            <v>WM</v>
          </cell>
          <cell r="F32" t="str">
            <v>FLM</v>
          </cell>
          <cell r="G32" t="str">
            <v>https://www.ifbappliances.com/diva-aqua-sbs-6-kg</v>
          </cell>
          <cell r="H32">
            <v>32290</v>
          </cell>
          <cell r="I32">
            <v>32290</v>
          </cell>
          <cell r="J32">
            <v>28415.200000000001</v>
          </cell>
          <cell r="K32" t="str">
            <v>IFB</v>
          </cell>
          <cell r="L32">
            <v>6</v>
          </cell>
          <cell r="M32">
            <v>1000</v>
          </cell>
          <cell r="N32">
            <v>60</v>
          </cell>
          <cell r="O32">
            <v>5</v>
          </cell>
          <cell r="P32">
            <v>9</v>
          </cell>
          <cell r="Q32">
            <v>8.8999999999999996E-2</v>
          </cell>
          <cell r="R32" t="str">
            <v>Silver</v>
          </cell>
          <cell r="T32" t="str">
            <v>AI</v>
          </cell>
          <cell r="U32" t="str">
            <v>Power Steam</v>
          </cell>
          <cell r="W32" t="str">
            <v>Aqua Energie</v>
          </cell>
          <cell r="X32" t="str">
            <v>2D Wash System</v>
          </cell>
          <cell r="AD32" t="str">
            <v>Auto Imbalance Vibration</v>
          </cell>
          <cell r="AE32" t="str">
            <v>High Low Voltage Protection</v>
          </cell>
          <cell r="AF32" t="str">
            <v>Foam Detection</v>
          </cell>
          <cell r="AG32" t="str">
            <v>Auto Restart</v>
          </cell>
          <cell r="AH32" t="str">
            <v>Self Diagnosis</v>
          </cell>
          <cell r="AI32" t="str">
            <v>Steam</v>
          </cell>
          <cell r="AN32" t="str">
            <v>Anticrease</v>
          </cell>
          <cell r="AO32" t="str">
            <v>C</v>
          </cell>
        </row>
        <row r="33">
          <cell r="B33" t="str">
            <v>Elite MXS 7012</v>
          </cell>
          <cell r="C33">
            <v>8903287025686</v>
          </cell>
          <cell r="D33" t="str">
            <v>ELITE MXS 7012, FLU, 46990</v>
          </cell>
          <cell r="E33" t="str">
            <v>WM</v>
          </cell>
          <cell r="F33" t="str">
            <v>FLM</v>
          </cell>
          <cell r="G33" t="str">
            <v>https://www.ifbappliances.com/elite-mxs-7012</v>
          </cell>
          <cell r="H33">
            <v>46990</v>
          </cell>
          <cell r="I33">
            <v>46990</v>
          </cell>
          <cell r="J33">
            <v>41351.199999999997</v>
          </cell>
          <cell r="K33" t="str">
            <v>IFB</v>
          </cell>
          <cell r="L33">
            <v>7</v>
          </cell>
          <cell r="M33">
            <v>1200</v>
          </cell>
          <cell r="N33">
            <v>71</v>
          </cell>
          <cell r="O33">
            <v>5</v>
          </cell>
          <cell r="P33">
            <v>9</v>
          </cell>
          <cell r="Q33">
            <v>8.8999999999999996E-2</v>
          </cell>
          <cell r="R33" t="str">
            <v>Mocha</v>
          </cell>
          <cell r="S33" t="str">
            <v>LED</v>
          </cell>
          <cell r="T33" t="str">
            <v>AI</v>
          </cell>
          <cell r="U33" t="str">
            <v>Power Steam</v>
          </cell>
          <cell r="W33" t="str">
            <v>Aqua Energie</v>
          </cell>
          <cell r="X33" t="str">
            <v>3D Wash System</v>
          </cell>
          <cell r="AD33" t="str">
            <v>Auto Imbalance Vibration</v>
          </cell>
          <cell r="AE33" t="str">
            <v>High Low Voltage Protection</v>
          </cell>
          <cell r="AF33" t="str">
            <v>Foam Detection</v>
          </cell>
          <cell r="AG33" t="str">
            <v>Auto Restart</v>
          </cell>
          <cell r="AH33" t="str">
            <v>Self Diagnosis</v>
          </cell>
          <cell r="AI33" t="str">
            <v>Steam</v>
          </cell>
          <cell r="AJ33" t="str">
            <v>Prewash</v>
          </cell>
          <cell r="AN33" t="str">
            <v>Anticrease</v>
          </cell>
          <cell r="AO33" t="str">
            <v>B</v>
          </cell>
        </row>
        <row r="34">
          <cell r="B34" t="str">
            <v>Senator VSS 8012</v>
          </cell>
          <cell r="C34">
            <v>8903287025402</v>
          </cell>
          <cell r="D34" t="str">
            <v>SENATOR VSS 8012, FLU, 40990</v>
          </cell>
          <cell r="E34" t="str">
            <v>WM</v>
          </cell>
          <cell r="F34" t="str">
            <v>FLM</v>
          </cell>
          <cell r="G34" t="str">
            <v>https://www.ifbappliances.com/senator-vss</v>
          </cell>
          <cell r="H34">
            <v>40990</v>
          </cell>
          <cell r="I34">
            <v>40990</v>
          </cell>
          <cell r="J34">
            <v>39350.400000000001</v>
          </cell>
          <cell r="K34" t="str">
            <v>IFB</v>
          </cell>
          <cell r="L34">
            <v>8</v>
          </cell>
          <cell r="M34">
            <v>1200</v>
          </cell>
          <cell r="N34">
            <v>71</v>
          </cell>
          <cell r="R34" t="str">
            <v>White</v>
          </cell>
          <cell r="S34" t="str">
            <v>LED</v>
          </cell>
          <cell r="U34" t="str">
            <v>Power Steam</v>
          </cell>
          <cell r="W34" t="str">
            <v>Aqua Energie</v>
          </cell>
          <cell r="X34" t="str">
            <v>3D Wash System</v>
          </cell>
          <cell r="AD34" t="str">
            <v>Auto Imbalance Vibration</v>
          </cell>
          <cell r="AE34" t="str">
            <v>High Low Voltage Protection</v>
          </cell>
          <cell r="AF34" t="str">
            <v>Foam Detection</v>
          </cell>
          <cell r="AG34" t="str">
            <v>Auto Restart</v>
          </cell>
          <cell r="AH34" t="str">
            <v>Self Diagnosis</v>
          </cell>
          <cell r="AI34" t="str">
            <v>Steam</v>
          </cell>
          <cell r="AJ34" t="str">
            <v>Prewash</v>
          </cell>
          <cell r="AL34" t="str">
            <v>Extra Rinse</v>
          </cell>
          <cell r="AM34" t="str">
            <v>Hot Rinse</v>
          </cell>
          <cell r="AN34" t="str">
            <v>Anticrease</v>
          </cell>
          <cell r="AO34" t="str">
            <v>C</v>
          </cell>
        </row>
        <row r="35">
          <cell r="B35" t="str">
            <v>Executive SXS 9014</v>
          </cell>
          <cell r="C35">
            <v>8903287026058</v>
          </cell>
          <cell r="D35" t="str">
            <v>EXECUTIVE SXS 9014, FLU, 47690</v>
          </cell>
          <cell r="E35" t="str">
            <v>WM</v>
          </cell>
          <cell r="F35" t="str">
            <v>FLM</v>
          </cell>
          <cell r="G35" t="str">
            <v>https://www.ifbappliances.com/executive-sxs-9014</v>
          </cell>
          <cell r="H35">
            <v>47690</v>
          </cell>
          <cell r="I35">
            <v>47690</v>
          </cell>
          <cell r="J35">
            <v>45782.400000000001</v>
          </cell>
          <cell r="K35" t="str">
            <v>IFB</v>
          </cell>
          <cell r="L35">
            <v>9</v>
          </cell>
          <cell r="M35">
            <v>1400</v>
          </cell>
          <cell r="N35">
            <v>75</v>
          </cell>
          <cell r="O35">
            <v>5</v>
          </cell>
          <cell r="P35">
            <v>8.9</v>
          </cell>
          <cell r="Q35">
            <v>8.8999999999999996E-2</v>
          </cell>
          <cell r="R35" t="str">
            <v>Silver</v>
          </cell>
          <cell r="S35" t="str">
            <v>LED</v>
          </cell>
          <cell r="U35" t="str">
            <v>Power Steam</v>
          </cell>
          <cell r="W35" t="str">
            <v>Aqua Energie</v>
          </cell>
          <cell r="X35" t="str">
            <v>4D Wash System</v>
          </cell>
          <cell r="AD35" t="str">
            <v>Auto Imbalance Vibration</v>
          </cell>
          <cell r="AE35" t="str">
            <v>High Low Voltage Protection</v>
          </cell>
          <cell r="AF35" t="str">
            <v>Foam Detection</v>
          </cell>
          <cell r="AG35" t="str">
            <v>Auto Restart</v>
          </cell>
          <cell r="AH35" t="str">
            <v>Self Diagnosis</v>
          </cell>
          <cell r="AI35" t="str">
            <v>Steam</v>
          </cell>
          <cell r="AJ35" t="str">
            <v>Prewash</v>
          </cell>
          <cell r="AL35" t="str">
            <v>Extra Rinse</v>
          </cell>
          <cell r="AN35" t="str">
            <v>Anticrease</v>
          </cell>
          <cell r="AO35" t="str">
            <v>B</v>
          </cell>
        </row>
        <row r="36">
          <cell r="B36" t="str">
            <v>Elite Plus WSS 7012</v>
          </cell>
          <cell r="C36">
            <v>8903287025679</v>
          </cell>
          <cell r="D36" t="str">
            <v>ELITE PLUS WSS 7012, FLU, 40490</v>
          </cell>
          <cell r="E36" t="str">
            <v>WM</v>
          </cell>
          <cell r="F36" t="str">
            <v>FLM</v>
          </cell>
          <cell r="G36" t="str">
            <v>https://www.ifbappliances.com/elite-plus-wss-7-kg</v>
          </cell>
          <cell r="H36">
            <v>40490</v>
          </cell>
          <cell r="I36">
            <v>40490</v>
          </cell>
          <cell r="J36">
            <v>38870.400000000001</v>
          </cell>
          <cell r="K36" t="str">
            <v>IFB</v>
          </cell>
          <cell r="L36">
            <v>7</v>
          </cell>
          <cell r="M36">
            <v>1200</v>
          </cell>
          <cell r="N36">
            <v>71</v>
          </cell>
          <cell r="O36">
            <v>5</v>
          </cell>
          <cell r="P36">
            <v>8.9</v>
          </cell>
          <cell r="Q36">
            <v>8.8999999999999996E-2</v>
          </cell>
          <cell r="R36" t="str">
            <v>Silver</v>
          </cell>
          <cell r="S36" t="str">
            <v>LED</v>
          </cell>
          <cell r="U36" t="str">
            <v>Power Steam</v>
          </cell>
          <cell r="W36" t="str">
            <v>Aqua Energie</v>
          </cell>
          <cell r="X36" t="str">
            <v>3D Wash System</v>
          </cell>
          <cell r="AD36" t="str">
            <v>Auto Imbalance Vibration</v>
          </cell>
          <cell r="AE36" t="str">
            <v>High Low Voltage Protection</v>
          </cell>
          <cell r="AF36" t="str">
            <v>Foam Detection</v>
          </cell>
          <cell r="AG36" t="str">
            <v>Auto Restart</v>
          </cell>
          <cell r="AH36" t="str">
            <v>Self Diagnosis</v>
          </cell>
          <cell r="AI36" t="str">
            <v>Steam</v>
          </cell>
          <cell r="AJ36" t="str">
            <v>Prewash</v>
          </cell>
          <cell r="AL36" t="str">
            <v>Extra Rinse</v>
          </cell>
          <cell r="AN36" t="str">
            <v>Anticrease</v>
          </cell>
          <cell r="AO36" t="str">
            <v>C</v>
          </cell>
        </row>
        <row r="37">
          <cell r="B37" t="str">
            <v>Executive MSC 9014</v>
          </cell>
          <cell r="C37">
            <v>8903287026638</v>
          </cell>
          <cell r="D37" t="str">
            <v>EXECUTIVE MSC 9014, FLU, 59990</v>
          </cell>
          <cell r="E37" t="str">
            <v>WM</v>
          </cell>
          <cell r="F37" t="str">
            <v>FLM</v>
          </cell>
          <cell r="G37" t="str">
            <v>https://www.ifbappliances.com/executive-msc-9014</v>
          </cell>
          <cell r="H37">
            <v>59990</v>
          </cell>
          <cell r="I37">
            <v>59990</v>
          </cell>
          <cell r="J37">
            <v>52791.199999999997</v>
          </cell>
          <cell r="K37" t="str">
            <v>IFB</v>
          </cell>
          <cell r="L37">
            <v>9</v>
          </cell>
          <cell r="M37">
            <v>1400</v>
          </cell>
          <cell r="N37">
            <v>76</v>
          </cell>
          <cell r="O37">
            <v>5</v>
          </cell>
          <cell r="P37">
            <v>8.9</v>
          </cell>
          <cell r="Q37">
            <v>0.06</v>
          </cell>
          <cell r="R37" t="str">
            <v>Silver</v>
          </cell>
          <cell r="S37" t="str">
            <v>LED</v>
          </cell>
          <cell r="T37" t="str">
            <v>AI</v>
          </cell>
          <cell r="U37" t="str">
            <v>Power Steam</v>
          </cell>
          <cell r="V37" t="str">
            <v>Eco Inverter Motor</v>
          </cell>
          <cell r="W37" t="str">
            <v>Aqua Energie</v>
          </cell>
          <cell r="X37" t="str">
            <v>Oxyjet</v>
          </cell>
          <cell r="Y37" t="str">
            <v>Refresh</v>
          </cell>
          <cell r="Z37" t="str">
            <v>9 Swirl</v>
          </cell>
          <cell r="AA37" t="str">
            <v>WiFi</v>
          </cell>
          <cell r="AB37" t="str">
            <v>Voice</v>
          </cell>
          <cell r="AD37" t="str">
            <v>Auto Imbalance Vibration</v>
          </cell>
          <cell r="AE37" t="str">
            <v>High Low Voltage Protection</v>
          </cell>
          <cell r="AF37" t="str">
            <v>Foam Detection</v>
          </cell>
          <cell r="AG37" t="str">
            <v>Auto Restart</v>
          </cell>
          <cell r="AH37" t="str">
            <v>Self Diagnosis</v>
          </cell>
          <cell r="AI37" t="str">
            <v>Steam</v>
          </cell>
          <cell r="AJ37" t="str">
            <v>Prewash</v>
          </cell>
          <cell r="AK37" t="str">
            <v>Warm Soak</v>
          </cell>
          <cell r="AL37" t="str">
            <v>Extra Rinse</v>
          </cell>
          <cell r="AM37" t="str">
            <v>Hot Rinse</v>
          </cell>
          <cell r="AN37" t="str">
            <v>Anticrease</v>
          </cell>
          <cell r="AO37" t="str">
            <v>A++</v>
          </cell>
        </row>
        <row r="38">
          <cell r="B38" t="str">
            <v>Senator VXS</v>
          </cell>
          <cell r="C38">
            <v>8903287024580</v>
          </cell>
          <cell r="D38" t="str">
            <v>SENATOR VXS 0812, FLU, 40990</v>
          </cell>
          <cell r="E38" t="str">
            <v>WM</v>
          </cell>
          <cell r="F38" t="str">
            <v>FLM</v>
          </cell>
          <cell r="G38" t="str">
            <v>https://www.ifbappliances.com/senator-vxs-8-kg-1200-rpm</v>
          </cell>
          <cell r="H38">
            <v>40990</v>
          </cell>
          <cell r="I38">
            <v>40990</v>
          </cell>
          <cell r="J38">
            <v>39350.400000000001</v>
          </cell>
          <cell r="K38" t="str">
            <v>IFB</v>
          </cell>
          <cell r="L38">
            <v>8</v>
          </cell>
          <cell r="M38">
            <v>1200</v>
          </cell>
          <cell r="N38">
            <v>73</v>
          </cell>
          <cell r="O38">
            <v>5</v>
          </cell>
          <cell r="P38">
            <v>8.9</v>
          </cell>
          <cell r="Q38">
            <v>8.8999999999999996E-2</v>
          </cell>
          <cell r="R38" t="str">
            <v>Silver</v>
          </cell>
          <cell r="S38" t="str">
            <v>LED</v>
          </cell>
          <cell r="U38" t="str">
            <v>Power Steam</v>
          </cell>
          <cell r="W38" t="str">
            <v>Aqua Energie</v>
          </cell>
          <cell r="X38" t="str">
            <v>3D Wash System</v>
          </cell>
          <cell r="AD38" t="str">
            <v>Auto Imbalance Vibration</v>
          </cell>
          <cell r="AE38" t="str">
            <v>High Low Voltage Protection</v>
          </cell>
          <cell r="AF38" t="str">
            <v>Foam Detection</v>
          </cell>
          <cell r="AG38" t="str">
            <v>Auto Restart</v>
          </cell>
          <cell r="AH38" t="str">
            <v>Self Diagnosis</v>
          </cell>
          <cell r="AJ38" t="str">
            <v>Prewash</v>
          </cell>
          <cell r="AL38" t="str">
            <v>Extra Rinse</v>
          </cell>
          <cell r="AM38" t="str">
            <v>Hot Rinse</v>
          </cell>
          <cell r="AN38" t="str">
            <v>Anticrease</v>
          </cell>
          <cell r="AO38" t="str">
            <v>C</v>
          </cell>
        </row>
        <row r="39">
          <cell r="B39" t="str">
            <v>Elena SBS</v>
          </cell>
          <cell r="C39">
            <v>8903287026089</v>
          </cell>
          <cell r="D39" t="str">
            <v>ELENA SBS 6510, FLU, 37090</v>
          </cell>
          <cell r="E39" t="str">
            <v>WM</v>
          </cell>
          <cell r="F39" t="str">
            <v>FLM</v>
          </cell>
          <cell r="G39" t="str">
            <v>https://www.ifbappliances.com/elena-sbs</v>
          </cell>
          <cell r="H39">
            <v>37090</v>
          </cell>
          <cell r="I39">
            <v>37090</v>
          </cell>
          <cell r="J39">
            <v>32639.200000000001</v>
          </cell>
          <cell r="K39" t="str">
            <v>IFB</v>
          </cell>
          <cell r="L39">
            <v>6.5</v>
          </cell>
          <cell r="M39">
            <v>1000</v>
          </cell>
          <cell r="N39">
            <v>65</v>
          </cell>
          <cell r="O39">
            <v>5</v>
          </cell>
          <cell r="P39">
            <v>8.9</v>
          </cell>
          <cell r="Q39">
            <v>8.8999999999999996E-2</v>
          </cell>
          <cell r="R39" t="str">
            <v>Silver</v>
          </cell>
          <cell r="S39" t="str">
            <v>LED</v>
          </cell>
          <cell r="T39" t="str">
            <v>AI</v>
          </cell>
          <cell r="U39" t="str">
            <v>Power Steam</v>
          </cell>
          <cell r="W39" t="str">
            <v>Aqua Energie</v>
          </cell>
          <cell r="X39" t="str">
            <v>2D Wash System</v>
          </cell>
          <cell r="AD39" t="str">
            <v>Auto Imbalance Vibration</v>
          </cell>
          <cell r="AE39" t="str">
            <v>High Low Voltage Protection</v>
          </cell>
          <cell r="AF39" t="str">
            <v>Foam Detection</v>
          </cell>
          <cell r="AG39" t="str">
            <v>Auto Restart</v>
          </cell>
          <cell r="AH39" t="str">
            <v>Self Diagnosis</v>
          </cell>
          <cell r="AI39" t="str">
            <v>Steam</v>
          </cell>
          <cell r="AJ39" t="str">
            <v>Prewash</v>
          </cell>
          <cell r="AL39" t="str">
            <v>Extra Rinse</v>
          </cell>
          <cell r="AN39" t="str">
            <v>Anticrease</v>
          </cell>
          <cell r="AO39" t="str">
            <v>C</v>
          </cell>
        </row>
        <row r="40">
          <cell r="B40" t="str">
            <v>Neo Diva VXS 7010</v>
          </cell>
          <cell r="C40">
            <v>8903287025617</v>
          </cell>
          <cell r="D40" t="str">
            <v>NEO DIVA VXS 7010, FLU, 40990</v>
          </cell>
          <cell r="E40" t="str">
            <v>WM</v>
          </cell>
          <cell r="F40" t="str">
            <v>FLM</v>
          </cell>
          <cell r="G40" t="str">
            <v>https://www.ifbappliances.com/neo-diva-vxs</v>
          </cell>
          <cell r="H40">
            <v>35990</v>
          </cell>
          <cell r="I40">
            <v>40990</v>
          </cell>
          <cell r="J40">
            <v>34550.400000000001</v>
          </cell>
          <cell r="K40" t="str">
            <v>IFB</v>
          </cell>
          <cell r="L40">
            <v>7</v>
          </cell>
          <cell r="M40">
            <v>1000</v>
          </cell>
          <cell r="N40">
            <v>69</v>
          </cell>
          <cell r="R40" t="str">
            <v>White</v>
          </cell>
          <cell r="S40" t="str">
            <v>LED</v>
          </cell>
          <cell r="U40" t="str">
            <v>Power Steam</v>
          </cell>
          <cell r="W40" t="str">
            <v>Aqua Energie</v>
          </cell>
          <cell r="X40" t="str">
            <v>3D Wash System</v>
          </cell>
          <cell r="AD40" t="str">
            <v>Auto Imbalance Vibration</v>
          </cell>
          <cell r="AE40" t="str">
            <v>High Low Voltage Protection</v>
          </cell>
          <cell r="AF40" t="str">
            <v>Foam Detection</v>
          </cell>
          <cell r="AG40" t="str">
            <v>Auto Restart</v>
          </cell>
          <cell r="AH40" t="str">
            <v>Self Diagnosis</v>
          </cell>
          <cell r="AN40" t="str">
            <v>Anticrease</v>
          </cell>
          <cell r="AO40" t="str">
            <v>C</v>
          </cell>
        </row>
        <row r="41">
          <cell r="B41" t="str">
            <v>Senator Plus VXS</v>
          </cell>
          <cell r="C41">
            <v>8903287025594</v>
          </cell>
          <cell r="D41" t="str">
            <v>SENATOR PLUS VXS 8012, FLU, 47190</v>
          </cell>
          <cell r="E41" t="str">
            <v>WM</v>
          </cell>
          <cell r="F41" t="str">
            <v>FLM</v>
          </cell>
          <cell r="G41" t="str">
            <v>https://www.ifbappliances.com/senator-plus-vxs</v>
          </cell>
          <cell r="H41">
            <v>47190</v>
          </cell>
          <cell r="I41">
            <v>47190</v>
          </cell>
          <cell r="J41">
            <v>41527.199999999997</v>
          </cell>
          <cell r="K41" t="str">
            <v>IFB</v>
          </cell>
          <cell r="L41">
            <v>8</v>
          </cell>
          <cell r="M41">
            <v>1200</v>
          </cell>
          <cell r="N41">
            <v>75</v>
          </cell>
          <cell r="O41">
            <v>5</v>
          </cell>
          <cell r="P41">
            <v>8.9</v>
          </cell>
          <cell r="Q41">
            <v>8.8999999999999996E-2</v>
          </cell>
          <cell r="R41" t="str">
            <v>White</v>
          </cell>
          <cell r="S41" t="str">
            <v>LED</v>
          </cell>
          <cell r="T41" t="str">
            <v>AI</v>
          </cell>
          <cell r="U41" t="str">
            <v>Power Steam</v>
          </cell>
          <cell r="W41" t="str">
            <v>Aqua Energie</v>
          </cell>
          <cell r="X41" t="str">
            <v>4D Wash System</v>
          </cell>
          <cell r="AD41" t="str">
            <v>Auto Imbalance Vibration</v>
          </cell>
          <cell r="AE41" t="str">
            <v>High Low Voltage Protection</v>
          </cell>
          <cell r="AF41" t="str">
            <v>Foam Detection</v>
          </cell>
          <cell r="AG41" t="str">
            <v>Auto Restart</v>
          </cell>
          <cell r="AH41" t="str">
            <v>Self Diagnosis</v>
          </cell>
          <cell r="AI41" t="str">
            <v>Steam</v>
          </cell>
          <cell r="AJ41" t="str">
            <v>Prewash</v>
          </cell>
          <cell r="AL41" t="str">
            <v>Extra Rinse</v>
          </cell>
          <cell r="AN41" t="str">
            <v>Anticrease</v>
          </cell>
          <cell r="AO41" t="str">
            <v>B</v>
          </cell>
        </row>
        <row r="42">
          <cell r="B42" t="str">
            <v>Neo Diva BXS 7010</v>
          </cell>
          <cell r="C42">
            <v>8903287025631</v>
          </cell>
          <cell r="D42" t="str">
            <v>NEO DIVA BXS 7010, FLU, 41190</v>
          </cell>
          <cell r="E42" t="str">
            <v>WM</v>
          </cell>
          <cell r="F42" t="str">
            <v>FLM</v>
          </cell>
          <cell r="G42" t="str">
            <v>https://www.ifbappliances.com/neo-diva-bxs</v>
          </cell>
          <cell r="H42">
            <v>41190</v>
          </cell>
          <cell r="I42">
            <v>41190</v>
          </cell>
          <cell r="J42">
            <v>36247.199999999997</v>
          </cell>
          <cell r="K42" t="str">
            <v>IFB</v>
          </cell>
          <cell r="L42">
            <v>7</v>
          </cell>
          <cell r="M42">
            <v>1000</v>
          </cell>
          <cell r="N42">
            <v>69</v>
          </cell>
          <cell r="O42">
            <v>5</v>
          </cell>
          <cell r="P42">
            <v>8.9</v>
          </cell>
          <cell r="Q42">
            <v>8.8999999999999996E-2</v>
          </cell>
          <cell r="R42" t="str">
            <v>White</v>
          </cell>
          <cell r="S42" t="str">
            <v>LED</v>
          </cell>
          <cell r="T42" t="str">
            <v>AI</v>
          </cell>
          <cell r="U42" t="str">
            <v>Power Steam</v>
          </cell>
          <cell r="W42" t="str">
            <v>Aqua Energie</v>
          </cell>
          <cell r="X42" t="str">
            <v>3D Wash System</v>
          </cell>
          <cell r="AD42" t="str">
            <v>Auto Imbalance Vibration</v>
          </cell>
          <cell r="AE42" t="str">
            <v>High Low Voltage Protection</v>
          </cell>
          <cell r="AF42" t="str">
            <v>Foam Detection</v>
          </cell>
          <cell r="AG42" t="str">
            <v>Auto Restart</v>
          </cell>
          <cell r="AH42" t="str">
            <v>Self Diagnosis</v>
          </cell>
          <cell r="AI42" t="str">
            <v>Steam</v>
          </cell>
          <cell r="AJ42" t="str">
            <v>Prewash</v>
          </cell>
          <cell r="AL42" t="str">
            <v>Extra Rinse</v>
          </cell>
          <cell r="AN42" t="str">
            <v>Anticrease</v>
          </cell>
          <cell r="AO42" t="str">
            <v>C</v>
          </cell>
        </row>
        <row r="43">
          <cell r="B43" t="str">
            <v>Senator Neo MXS</v>
          </cell>
          <cell r="C43">
            <v>8903287026713</v>
          </cell>
          <cell r="D43" t="str">
            <v>SENATOR NEO MXS 8012, FLU, 48990</v>
          </cell>
          <cell r="E43" t="str">
            <v>WM</v>
          </cell>
          <cell r="F43" t="str">
            <v>FLM</v>
          </cell>
          <cell r="G43" t="str">
            <v>https://www.ifbappliances.com/senator-neo-mxs</v>
          </cell>
          <cell r="H43">
            <v>48990</v>
          </cell>
          <cell r="I43">
            <v>48990</v>
          </cell>
          <cell r="J43">
            <v>43111.199999999997</v>
          </cell>
          <cell r="K43" t="str">
            <v>IFB</v>
          </cell>
          <cell r="L43">
            <v>8</v>
          </cell>
          <cell r="M43">
            <v>1200</v>
          </cell>
          <cell r="N43">
            <v>69</v>
          </cell>
          <cell r="O43">
            <v>5</v>
          </cell>
          <cell r="P43">
            <v>8.9</v>
          </cell>
          <cell r="Q43">
            <v>8.8999999999999996E-2</v>
          </cell>
          <cell r="R43" t="str">
            <v>Mocha</v>
          </cell>
          <cell r="S43" t="str">
            <v>LED</v>
          </cell>
          <cell r="T43" t="str">
            <v>AI</v>
          </cell>
          <cell r="U43" t="str">
            <v>Power Steam</v>
          </cell>
          <cell r="W43" t="str">
            <v>Aqua Energie</v>
          </cell>
          <cell r="X43" t="str">
            <v>3D Wash System</v>
          </cell>
          <cell r="AD43" t="str">
            <v>Auto Imbalance Vibration</v>
          </cell>
          <cell r="AE43" t="str">
            <v>High Low Voltage Protection</v>
          </cell>
          <cell r="AF43" t="str">
            <v>Foam Detection</v>
          </cell>
          <cell r="AG43" t="str">
            <v>Auto Restart</v>
          </cell>
          <cell r="AH43" t="str">
            <v>Self Diagnosis</v>
          </cell>
          <cell r="AI43" t="str">
            <v>Steam</v>
          </cell>
          <cell r="AJ43" t="str">
            <v>Prewash</v>
          </cell>
          <cell r="AN43" t="str">
            <v>Anticrease</v>
          </cell>
          <cell r="AO43" t="str">
            <v>A</v>
          </cell>
        </row>
        <row r="44">
          <cell r="B44" t="str">
            <v>Senator Neo SXS 8012</v>
          </cell>
          <cell r="C44">
            <v>8903287026171</v>
          </cell>
          <cell r="D44" t="str">
            <v>SENATOR NEO SXS 8012, FLU, 47990</v>
          </cell>
          <cell r="E44" t="str">
            <v>WM</v>
          </cell>
          <cell r="F44" t="str">
            <v>FLM</v>
          </cell>
          <cell r="G44" t="str">
            <v>https://www.ifbappliances.com/senator-neo-sxs-8012</v>
          </cell>
          <cell r="H44">
            <v>47990</v>
          </cell>
          <cell r="I44">
            <v>47990</v>
          </cell>
          <cell r="J44">
            <v>42231.199999999997</v>
          </cell>
          <cell r="K44" t="str">
            <v>IFB</v>
          </cell>
          <cell r="L44">
            <v>8</v>
          </cell>
          <cell r="M44">
            <v>1200</v>
          </cell>
          <cell r="N44">
            <v>69</v>
          </cell>
          <cell r="O44">
            <v>5</v>
          </cell>
          <cell r="P44">
            <v>8.9</v>
          </cell>
          <cell r="Q44">
            <v>8.8999999999999996E-2</v>
          </cell>
          <cell r="R44" t="str">
            <v>Silver</v>
          </cell>
          <cell r="S44" t="str">
            <v>LED</v>
          </cell>
          <cell r="T44" t="str">
            <v>AI</v>
          </cell>
          <cell r="U44" t="str">
            <v>Power Steam</v>
          </cell>
          <cell r="W44" t="str">
            <v>Aqua Energie</v>
          </cell>
          <cell r="X44" t="str">
            <v>3D Wash System</v>
          </cell>
          <cell r="AD44" t="str">
            <v>Auto Imbalance Vibration</v>
          </cell>
          <cell r="AE44" t="str">
            <v>High Low Voltage Protection</v>
          </cell>
          <cell r="AF44" t="str">
            <v>Foam Detection</v>
          </cell>
          <cell r="AH44" t="str">
            <v>Self Diagnosis</v>
          </cell>
          <cell r="AI44" t="str">
            <v>Steam</v>
          </cell>
          <cell r="AJ44" t="str">
            <v>Prewash</v>
          </cell>
          <cell r="AN44" t="str">
            <v>Anticrease</v>
          </cell>
          <cell r="AO44" t="str">
            <v>B</v>
          </cell>
        </row>
        <row r="45">
          <cell r="B45" t="str">
            <v>Senator Neo VXS 8012</v>
          </cell>
          <cell r="C45">
            <v>8903287026164</v>
          </cell>
          <cell r="D45" t="str">
            <v>SENATOR NEO VXS 8012, FLU, 46490</v>
          </cell>
          <cell r="E45" t="str">
            <v>WM</v>
          </cell>
          <cell r="F45" t="str">
            <v>FLM</v>
          </cell>
          <cell r="G45" t="str">
            <v>https://www.ifbappliances.com/senator-neo-vxs-8012</v>
          </cell>
          <cell r="H45">
            <v>46490</v>
          </cell>
          <cell r="I45">
            <v>46490</v>
          </cell>
          <cell r="J45">
            <v>40911.199999999997</v>
          </cell>
          <cell r="K45" t="str">
            <v>IFB</v>
          </cell>
          <cell r="L45">
            <v>8</v>
          </cell>
          <cell r="M45">
            <v>1200</v>
          </cell>
          <cell r="N45">
            <v>69</v>
          </cell>
          <cell r="O45">
            <v>5</v>
          </cell>
          <cell r="P45">
            <v>8.9</v>
          </cell>
          <cell r="Q45">
            <v>8.8999999999999996E-2</v>
          </cell>
          <cell r="R45" t="str">
            <v>White</v>
          </cell>
          <cell r="S45" t="str">
            <v>LED</v>
          </cell>
          <cell r="T45" t="str">
            <v>AI</v>
          </cell>
          <cell r="U45" t="str">
            <v>Power Steam</v>
          </cell>
          <cell r="W45" t="str">
            <v>Aqua Energie</v>
          </cell>
          <cell r="X45" t="str">
            <v>3D Wash System</v>
          </cell>
          <cell r="AD45" t="str">
            <v>Auto Imbalance Vibration</v>
          </cell>
          <cell r="AE45" t="str">
            <v>High Low Voltage Protection</v>
          </cell>
          <cell r="AF45" t="str">
            <v>Foam Detection</v>
          </cell>
          <cell r="AG45" t="str">
            <v>Auto Restart</v>
          </cell>
          <cell r="AH45" t="str">
            <v>Self Diagnosis</v>
          </cell>
          <cell r="AI45" t="str">
            <v>Steam</v>
          </cell>
          <cell r="AJ45" t="str">
            <v>Prewash</v>
          </cell>
          <cell r="AN45" t="str">
            <v>Anticrease</v>
          </cell>
          <cell r="AO45" t="str">
            <v>B</v>
          </cell>
        </row>
        <row r="46">
          <cell r="B46" t="str">
            <v>Neo Diva WSS 7010</v>
          </cell>
          <cell r="C46">
            <v>8903287025648</v>
          </cell>
          <cell r="D46" t="str">
            <v>NEO DIVA WSS 7010, FLU, 36690</v>
          </cell>
          <cell r="E46" t="str">
            <v>WM</v>
          </cell>
          <cell r="F46" t="str">
            <v>FLM</v>
          </cell>
          <cell r="G46" t="str">
            <v>https://www.ifbappliances.com/neo-diva-wss</v>
          </cell>
          <cell r="H46">
            <v>36690</v>
          </cell>
          <cell r="I46">
            <v>36690</v>
          </cell>
          <cell r="J46">
            <v>35222.400000000001</v>
          </cell>
          <cell r="K46" t="str">
            <v>IFB</v>
          </cell>
          <cell r="L46">
            <v>7</v>
          </cell>
          <cell r="M46">
            <v>1000</v>
          </cell>
          <cell r="N46">
            <v>69</v>
          </cell>
          <cell r="O46">
            <v>5</v>
          </cell>
          <cell r="P46">
            <v>8.9</v>
          </cell>
          <cell r="Q46">
            <v>8.8999999999999996E-2</v>
          </cell>
          <cell r="R46" t="str">
            <v>White</v>
          </cell>
          <cell r="S46" t="str">
            <v>LED</v>
          </cell>
          <cell r="U46" t="str">
            <v>Power Steam</v>
          </cell>
          <cell r="W46" t="str">
            <v>Aqua Energie</v>
          </cell>
          <cell r="X46" t="str">
            <v>3D Wash System</v>
          </cell>
          <cell r="AD46" t="str">
            <v>Auto Imbalance Vibration</v>
          </cell>
          <cell r="AE46" t="str">
            <v>High Low Voltage Protection</v>
          </cell>
          <cell r="AF46" t="str">
            <v>Foam Detection</v>
          </cell>
          <cell r="AG46" t="str">
            <v>Auto Restart</v>
          </cell>
          <cell r="AH46" t="str">
            <v>Self Diagnosis</v>
          </cell>
          <cell r="AI46" t="str">
            <v>Steam</v>
          </cell>
          <cell r="AJ46" t="str">
            <v>Prewash</v>
          </cell>
          <cell r="AL46" t="str">
            <v>Extra Rinse</v>
          </cell>
          <cell r="AN46" t="str">
            <v>Anticrease</v>
          </cell>
          <cell r="AO46" t="str">
            <v>C</v>
          </cell>
        </row>
        <row r="47">
          <cell r="B47" t="str">
            <v>Eva Plus ZWS 6010</v>
          </cell>
          <cell r="C47">
            <v>8903287025754</v>
          </cell>
          <cell r="D47" t="str">
            <v>EVA PLUS ZWS 6010, FLU, 32790</v>
          </cell>
          <cell r="E47" t="str">
            <v>WM</v>
          </cell>
          <cell r="F47" t="str">
            <v>FLM</v>
          </cell>
          <cell r="G47" t="str">
            <v>https://www.ifbappliances.com/eva-plus-zws</v>
          </cell>
          <cell r="H47">
            <v>32790</v>
          </cell>
          <cell r="I47">
            <v>32790</v>
          </cell>
          <cell r="J47">
            <v>31478.400000000001</v>
          </cell>
          <cell r="K47" t="str">
            <v>IFB</v>
          </cell>
          <cell r="L47">
            <v>6</v>
          </cell>
          <cell r="M47">
            <v>1000</v>
          </cell>
          <cell r="N47">
            <v>65</v>
          </cell>
          <cell r="O47">
            <v>5</v>
          </cell>
          <cell r="P47">
            <v>9</v>
          </cell>
          <cell r="Q47">
            <v>8.8999999999999996E-2</v>
          </cell>
          <cell r="R47" t="str">
            <v>White</v>
          </cell>
          <cell r="S47" t="str">
            <v>LED</v>
          </cell>
          <cell r="U47" t="str">
            <v>Power Steam</v>
          </cell>
          <cell r="W47" t="str">
            <v>Aqua Energie</v>
          </cell>
          <cell r="X47" t="str">
            <v>2D Wash System</v>
          </cell>
          <cell r="AD47" t="str">
            <v>Auto Imbalance Vibration</v>
          </cell>
          <cell r="AE47" t="str">
            <v>High Low Voltage Protection</v>
          </cell>
          <cell r="AF47" t="str">
            <v>Foam Detection</v>
          </cell>
          <cell r="AG47" t="str">
            <v>Auto Restart</v>
          </cell>
          <cell r="AH47" t="str">
            <v>Self Diagnosis</v>
          </cell>
          <cell r="AI47" t="str">
            <v>Steam</v>
          </cell>
          <cell r="AJ47" t="str">
            <v>Prewash</v>
          </cell>
          <cell r="AN47" t="str">
            <v>Anticrease</v>
          </cell>
          <cell r="AO47" t="str">
            <v>C</v>
          </cell>
        </row>
        <row r="48">
          <cell r="B48" t="str">
            <v>Diva Aqua VSS</v>
          </cell>
          <cell r="C48">
            <v>8903287026492</v>
          </cell>
          <cell r="D48" t="str">
            <v>DIVA AQUA VSS 6010, FLU, 30990</v>
          </cell>
          <cell r="E48" t="str">
            <v>WM</v>
          </cell>
          <cell r="F48" t="str">
            <v>FLM</v>
          </cell>
          <cell r="G48" t="str">
            <v>https://www.ifbappliances.com/diva-aqua-vss-6-kg</v>
          </cell>
          <cell r="H48">
            <v>30990</v>
          </cell>
          <cell r="I48">
            <v>30990</v>
          </cell>
          <cell r="J48">
            <v>27271.200000000001</v>
          </cell>
          <cell r="K48" t="str">
            <v>IFB</v>
          </cell>
          <cell r="L48">
            <v>6</v>
          </cell>
          <cell r="M48">
            <v>1000</v>
          </cell>
          <cell r="N48">
            <v>60</v>
          </cell>
          <cell r="O48">
            <v>5</v>
          </cell>
          <cell r="P48">
            <v>9</v>
          </cell>
          <cell r="Q48">
            <v>8.8999999999999996E-2</v>
          </cell>
          <cell r="R48" t="str">
            <v>White</v>
          </cell>
          <cell r="T48" t="str">
            <v>AI</v>
          </cell>
          <cell r="U48" t="str">
            <v>Power Steam</v>
          </cell>
          <cell r="W48" t="str">
            <v>Aqua Energie</v>
          </cell>
          <cell r="X48" t="str">
            <v>2D Wash System</v>
          </cell>
          <cell r="AD48" t="str">
            <v>Auto Imbalance Vibration</v>
          </cell>
          <cell r="AE48" t="str">
            <v>High Low Voltage Protection</v>
          </cell>
          <cell r="AF48" t="str">
            <v>Foam Detection</v>
          </cell>
          <cell r="AG48" t="str">
            <v>Auto Restart</v>
          </cell>
          <cell r="AH48" t="str">
            <v>Self Diagnosis</v>
          </cell>
          <cell r="AI48" t="str">
            <v>Steam</v>
          </cell>
          <cell r="AN48" t="str">
            <v>Anticrease</v>
          </cell>
          <cell r="AO48" t="str">
            <v>C</v>
          </cell>
        </row>
        <row r="49">
          <cell r="B49" t="str">
            <v>Elena SXS</v>
          </cell>
          <cell r="C49">
            <v>8903287025723</v>
          </cell>
          <cell r="D49" t="str">
            <v>ELENA SXS 6510, FLU, 36290</v>
          </cell>
          <cell r="E49" t="str">
            <v>WM</v>
          </cell>
          <cell r="F49" t="str">
            <v>FLM</v>
          </cell>
          <cell r="G49" t="str">
            <v>https://www.ifbappliances.com/elena-sxs</v>
          </cell>
          <cell r="H49">
            <v>36290</v>
          </cell>
          <cell r="I49">
            <v>36290</v>
          </cell>
          <cell r="J49">
            <v>31935.200000000001</v>
          </cell>
          <cell r="K49" t="str">
            <v>IFB</v>
          </cell>
          <cell r="L49">
            <v>6.5</v>
          </cell>
          <cell r="M49">
            <v>1000</v>
          </cell>
          <cell r="N49">
            <v>65</v>
          </cell>
          <cell r="O49">
            <v>5</v>
          </cell>
          <cell r="P49">
            <v>8.9</v>
          </cell>
          <cell r="Q49">
            <v>8.8999999999999996E-2</v>
          </cell>
          <cell r="R49" t="str">
            <v>Silver</v>
          </cell>
          <cell r="S49" t="str">
            <v>LED</v>
          </cell>
          <cell r="T49" t="str">
            <v>AI</v>
          </cell>
          <cell r="U49" t="str">
            <v>Power Steam</v>
          </cell>
          <cell r="W49" t="str">
            <v>Aqua Energie</v>
          </cell>
          <cell r="X49" t="str">
            <v>2D Wash System</v>
          </cell>
          <cell r="AD49" t="str">
            <v>Auto Imbalance Vibration</v>
          </cell>
          <cell r="AE49" t="str">
            <v>High Low Voltage Protection</v>
          </cell>
          <cell r="AF49" t="str">
            <v>Foam Detection</v>
          </cell>
          <cell r="AG49" t="str">
            <v>Auto Restart</v>
          </cell>
          <cell r="AH49" t="str">
            <v>Self Diagnosis</v>
          </cell>
          <cell r="AI49" t="str">
            <v>Steam</v>
          </cell>
          <cell r="AJ49" t="str">
            <v>Prewash</v>
          </cell>
          <cell r="AL49" t="str">
            <v>Extra Rinse</v>
          </cell>
          <cell r="AN49" t="str">
            <v>Anticrease</v>
          </cell>
          <cell r="AO49" t="str">
            <v>C</v>
          </cell>
        </row>
        <row r="50">
          <cell r="B50" t="str">
            <v>Senorita WXS</v>
          </cell>
          <cell r="C50">
            <v>8903287023941</v>
          </cell>
          <cell r="D50" t="str">
            <v>SENORITA WXS, FLU, 38790</v>
          </cell>
          <cell r="E50" t="str">
            <v>WM</v>
          </cell>
          <cell r="F50" t="str">
            <v>FLM</v>
          </cell>
          <cell r="G50" t="str">
            <v>https://www.ifbappliances.com/senorita-wxs-6-5-kg-1000-rpm</v>
          </cell>
          <cell r="H50">
            <v>38790</v>
          </cell>
          <cell r="I50">
            <v>38790</v>
          </cell>
          <cell r="J50">
            <v>37238.400000000001</v>
          </cell>
          <cell r="K50" t="str">
            <v>IFB</v>
          </cell>
          <cell r="L50">
            <v>6.5</v>
          </cell>
          <cell r="M50">
            <v>1000</v>
          </cell>
          <cell r="N50">
            <v>66</v>
          </cell>
          <cell r="O50">
            <v>5</v>
          </cell>
          <cell r="P50">
            <v>8.9</v>
          </cell>
          <cell r="Q50">
            <v>8.8999999999999996E-2</v>
          </cell>
          <cell r="R50" t="str">
            <v>Silver</v>
          </cell>
          <cell r="S50" t="str">
            <v>LED</v>
          </cell>
          <cell r="W50" t="str">
            <v>Aqua Energie</v>
          </cell>
          <cell r="X50" t="str">
            <v>3D Wash System</v>
          </cell>
          <cell r="AD50" t="str">
            <v>Auto Imbalance Vibration</v>
          </cell>
          <cell r="AE50" t="str">
            <v>High Low Voltage Protection</v>
          </cell>
          <cell r="AF50" t="str">
            <v>Foam Detection</v>
          </cell>
          <cell r="AG50" t="str">
            <v>Auto Restart</v>
          </cell>
          <cell r="AH50" t="str">
            <v>Self Diagnosis</v>
          </cell>
          <cell r="AJ50" t="str">
            <v>Prewash</v>
          </cell>
          <cell r="AL50" t="str">
            <v>Extra Rinse</v>
          </cell>
          <cell r="AM50" t="str">
            <v>Hot Rinse</v>
          </cell>
          <cell r="AN50" t="str">
            <v>Anticrease</v>
          </cell>
          <cell r="AO50" t="str">
            <v>C</v>
          </cell>
        </row>
        <row r="51">
          <cell r="B51" t="str">
            <v>Elena ZX</v>
          </cell>
          <cell r="C51">
            <v>8903287024139</v>
          </cell>
          <cell r="D51" t="str">
            <v>ELENA ZX, FLU, 34590</v>
          </cell>
          <cell r="E51" t="str">
            <v>WM</v>
          </cell>
          <cell r="F51" t="str">
            <v>FLM</v>
          </cell>
          <cell r="G51" t="str">
            <v>https://www.ifbappliances.com/elena-zx-6-5-kg-1000-rpm</v>
          </cell>
          <cell r="H51">
            <v>34590</v>
          </cell>
          <cell r="I51">
            <v>34590</v>
          </cell>
          <cell r="J51">
            <v>33206.400000000001</v>
          </cell>
          <cell r="K51" t="str">
            <v>IFB</v>
          </cell>
          <cell r="L51">
            <v>6.5</v>
          </cell>
          <cell r="M51">
            <v>1000</v>
          </cell>
          <cell r="N51">
            <v>60</v>
          </cell>
          <cell r="AO51" t="str">
            <v>C</v>
          </cell>
        </row>
        <row r="52">
          <cell r="B52" t="str">
            <v>Elite ZXS</v>
          </cell>
          <cell r="C52">
            <v>8903287024320</v>
          </cell>
          <cell r="D52" t="str">
            <v>ELITE ZXS, FLU, 39290</v>
          </cell>
          <cell r="E52" t="str">
            <v>WM</v>
          </cell>
          <cell r="F52" t="str">
            <v>FLM</v>
          </cell>
          <cell r="G52" t="str">
            <v>https://www.ifbappliances.com/elite-zxs-7kg-1000-rpm</v>
          </cell>
          <cell r="H52">
            <v>39290</v>
          </cell>
          <cell r="I52">
            <v>39290</v>
          </cell>
          <cell r="J52">
            <v>37718.400000000001</v>
          </cell>
          <cell r="K52" t="str">
            <v>IFB</v>
          </cell>
          <cell r="AO52" t="str">
            <v>C</v>
          </cell>
        </row>
        <row r="53">
          <cell r="B53" t="str">
            <v>Senator Smart Touch SX</v>
          </cell>
          <cell r="C53">
            <v>8903287024597</v>
          </cell>
          <cell r="D53" t="str">
            <v>SENATOR SMART TOUCH SX 8514, FLU, 50490</v>
          </cell>
          <cell r="E53" t="str">
            <v>WM</v>
          </cell>
          <cell r="F53" t="str">
            <v>FLM</v>
          </cell>
          <cell r="G53" t="str">
            <v>https://www.ifbappliances.com/senator-smart-touch-sx-8-5-kg</v>
          </cell>
          <cell r="H53">
            <v>50490</v>
          </cell>
          <cell r="I53">
            <v>50490</v>
          </cell>
          <cell r="J53">
            <v>48470.400000000001</v>
          </cell>
          <cell r="K53" t="str">
            <v>IFB</v>
          </cell>
          <cell r="AO53" t="str">
            <v>A</v>
          </cell>
        </row>
        <row r="54">
          <cell r="B54" t="str">
            <v>Serena WXS</v>
          </cell>
          <cell r="C54">
            <v>8903287024382</v>
          </cell>
          <cell r="D54" t="str">
            <v>SERENA WXS, FLU, 39790</v>
          </cell>
          <cell r="E54" t="str">
            <v>WM</v>
          </cell>
          <cell r="F54" t="str">
            <v>FLM</v>
          </cell>
          <cell r="G54" t="str">
            <v>https://www.ifbappliances.com/serena-wxs-7-kg-1200-rpm</v>
          </cell>
          <cell r="H54">
            <v>39790</v>
          </cell>
          <cell r="I54">
            <v>39790</v>
          </cell>
          <cell r="J54">
            <v>38198.400000000001</v>
          </cell>
          <cell r="K54" t="str">
            <v>IFB</v>
          </cell>
          <cell r="AO54" t="str">
            <v>C</v>
          </cell>
        </row>
        <row r="55">
          <cell r="B55" t="str">
            <v>Executive Smart Touch SXS</v>
          </cell>
          <cell r="C55">
            <v>8903287026256</v>
          </cell>
          <cell r="D55" t="str">
            <v>EXECUTIVE SMART TOUCH SXS 9014, FLU, 51990</v>
          </cell>
          <cell r="E55" t="str">
            <v>WM</v>
          </cell>
          <cell r="F55" t="str">
            <v>FLM</v>
          </cell>
          <cell r="G55" t="str">
            <v>https://www.ifbappliances.com/executive-smart-touch-sxs</v>
          </cell>
          <cell r="H55">
            <v>51990</v>
          </cell>
          <cell r="I55">
            <v>51990</v>
          </cell>
          <cell r="J55">
            <v>49910.400000000001</v>
          </cell>
          <cell r="K55" t="str">
            <v>IFB</v>
          </cell>
          <cell r="AO55" t="str">
            <v>A+</v>
          </cell>
        </row>
        <row r="56">
          <cell r="B56" t="str">
            <v>Senator MSN 8014</v>
          </cell>
          <cell r="E56" t="str">
            <v>WM</v>
          </cell>
          <cell r="F56" t="str">
            <v>FLM</v>
          </cell>
          <cell r="G56" t="str">
            <v>https://www.ifbappliances.com/senator-msn-8014</v>
          </cell>
          <cell r="H56">
            <v>47290</v>
          </cell>
          <cell r="J56">
            <v>47290</v>
          </cell>
          <cell r="K56" t="str">
            <v>IFB</v>
          </cell>
          <cell r="L56">
            <v>8</v>
          </cell>
          <cell r="M56">
            <v>1400</v>
          </cell>
          <cell r="N56">
            <v>71</v>
          </cell>
          <cell r="O56">
            <v>5</v>
          </cell>
          <cell r="P56">
            <v>8.9</v>
          </cell>
          <cell r="Q56">
            <v>7.0000000000000007E-2</v>
          </cell>
          <cell r="R56" t="str">
            <v>Silver</v>
          </cell>
          <cell r="S56" t="str">
            <v>LED</v>
          </cell>
          <cell r="T56" t="str">
            <v>AI</v>
          </cell>
          <cell r="U56" t="str">
            <v>Power Steam</v>
          </cell>
          <cell r="V56" t="str">
            <v>Eco Inverter Motor</v>
          </cell>
          <cell r="W56" t="str">
            <v>Aqua Energie</v>
          </cell>
          <cell r="X56" t="str">
            <v>3D Wash System</v>
          </cell>
          <cell r="Y56" t="str">
            <v>Refresh</v>
          </cell>
          <cell r="Z56" t="str">
            <v>9 Swirl</v>
          </cell>
          <cell r="AA56" t="str">
            <v>WiFi</v>
          </cell>
          <cell r="AB56" t="str">
            <v>Voice</v>
          </cell>
          <cell r="AD56" t="str">
            <v>Auto Imbalance Vibration</v>
          </cell>
          <cell r="AE56" t="str">
            <v>High Low Voltage Protection</v>
          </cell>
          <cell r="AF56" t="str">
            <v>Foam Detection</v>
          </cell>
          <cell r="AG56" t="str">
            <v>Auto Restart</v>
          </cell>
          <cell r="AH56" t="str">
            <v>Self Diagnosis</v>
          </cell>
          <cell r="AI56" t="str">
            <v>Steam</v>
          </cell>
          <cell r="AJ56" t="str">
            <v>Prewash</v>
          </cell>
          <cell r="AK56" t="str">
            <v>Warm Soak</v>
          </cell>
          <cell r="AL56" t="str">
            <v>Extra Rinse</v>
          </cell>
          <cell r="AM56" t="str">
            <v>Hot Rinse</v>
          </cell>
          <cell r="AN56" t="str">
            <v>Anticrease</v>
          </cell>
          <cell r="AO56" t="str">
            <v>B</v>
          </cell>
        </row>
        <row r="57">
          <cell r="B57" t="str">
            <v>Diva Aqua SBS 6008</v>
          </cell>
          <cell r="C57">
            <v>8903287025938</v>
          </cell>
          <cell r="D57" t="str">
            <v>DIVA AQUA SBS 6008, FLU, 27690</v>
          </cell>
          <cell r="E57" t="str">
            <v>WM</v>
          </cell>
          <cell r="F57" t="str">
            <v>FLM</v>
          </cell>
          <cell r="G57" t="str">
            <v>https://www.ifbappliances.com/diva-aqua-sbs-6008</v>
          </cell>
          <cell r="H57">
            <v>28190</v>
          </cell>
          <cell r="I57">
            <v>27690</v>
          </cell>
          <cell r="J57">
            <v>27062.400000000001</v>
          </cell>
          <cell r="K57" t="str">
            <v>IFB</v>
          </cell>
          <cell r="L57">
            <v>6</v>
          </cell>
          <cell r="M57">
            <v>800</v>
          </cell>
          <cell r="N57">
            <v>60</v>
          </cell>
          <cell r="O57">
            <v>5</v>
          </cell>
          <cell r="P57">
            <v>9</v>
          </cell>
          <cell r="Q57">
            <v>8.8999999999999996E-2</v>
          </cell>
          <cell r="R57" t="str">
            <v>Silver</v>
          </cell>
          <cell r="U57" t="str">
            <v>Power Steam</v>
          </cell>
          <cell r="W57" t="str">
            <v>Aqua Energie</v>
          </cell>
          <cell r="X57" t="str">
            <v>2D Wash System</v>
          </cell>
          <cell r="AD57" t="str">
            <v>Auto Imbalance Vibration</v>
          </cell>
          <cell r="AE57" t="str">
            <v>High Low Voltage Protection</v>
          </cell>
          <cell r="AF57" t="str">
            <v>Foam Detection</v>
          </cell>
          <cell r="AG57" t="str">
            <v>Auto Restart</v>
          </cell>
          <cell r="AH57" t="str">
            <v>Self Diagnosis</v>
          </cell>
          <cell r="AI57" t="str">
            <v>Steam</v>
          </cell>
          <cell r="AN57" t="str">
            <v>Anticrease</v>
          </cell>
          <cell r="AO57" t="str">
            <v>C</v>
          </cell>
        </row>
        <row r="58">
          <cell r="B58" t="str">
            <v>Senator GXN 8012</v>
          </cell>
          <cell r="E58" t="str">
            <v>WM</v>
          </cell>
          <cell r="F58" t="str">
            <v>FLM</v>
          </cell>
          <cell r="G58" t="str">
            <v>https://www.ifbappliances.com/senator-gxn-8012</v>
          </cell>
          <cell r="H58">
            <v>43790</v>
          </cell>
          <cell r="J58">
            <v>43790</v>
          </cell>
          <cell r="K58" t="str">
            <v>IFB</v>
          </cell>
          <cell r="L58">
            <v>8</v>
          </cell>
          <cell r="M58">
            <v>1200</v>
          </cell>
          <cell r="N58">
            <v>71</v>
          </cell>
          <cell r="O58">
            <v>5</v>
          </cell>
          <cell r="P58">
            <v>8.9</v>
          </cell>
          <cell r="Q58">
            <v>7.0000000000000007E-2</v>
          </cell>
          <cell r="R58" t="str">
            <v>Grey</v>
          </cell>
          <cell r="S58" t="str">
            <v>LED</v>
          </cell>
          <cell r="T58" t="str">
            <v>AI</v>
          </cell>
          <cell r="U58" t="str">
            <v>Power Steam</v>
          </cell>
          <cell r="V58" t="str">
            <v>Eco Inverter Motor</v>
          </cell>
          <cell r="W58" t="str">
            <v>Aqua Energie</v>
          </cell>
          <cell r="X58" t="str">
            <v>3D Wash System</v>
          </cell>
          <cell r="Y58" t="str">
            <v>Refresh</v>
          </cell>
          <cell r="Z58" t="str">
            <v>9 Swirl</v>
          </cell>
          <cell r="AA58" t="str">
            <v>WiFi</v>
          </cell>
          <cell r="AB58" t="str">
            <v>Voice</v>
          </cell>
          <cell r="AD58" t="str">
            <v>Auto Imbalance Vibration</v>
          </cell>
          <cell r="AE58" t="str">
            <v>High Low Voltage Protection</v>
          </cell>
          <cell r="AF58" t="str">
            <v>Foam Detection</v>
          </cell>
          <cell r="AG58" t="str">
            <v>Auto Restart</v>
          </cell>
          <cell r="AH58" t="str">
            <v>Self Diagnosis</v>
          </cell>
          <cell r="AI58" t="str">
            <v>Steam</v>
          </cell>
          <cell r="AJ58" t="str">
            <v>Prewash</v>
          </cell>
          <cell r="AK58" t="str">
            <v>Warm Soak</v>
          </cell>
          <cell r="AL58" t="str">
            <v>Extra Rinse</v>
          </cell>
          <cell r="AM58" t="str">
            <v>Hot Rinse</v>
          </cell>
          <cell r="AN58" t="str">
            <v>Anticrease</v>
          </cell>
          <cell r="AO58" t="str">
            <v>B</v>
          </cell>
        </row>
        <row r="59">
          <cell r="B59" t="str">
            <v>Executive MBN 9014K</v>
          </cell>
          <cell r="E59" t="str">
            <v>WM</v>
          </cell>
          <cell r="F59" t="str">
            <v>FLM</v>
          </cell>
          <cell r="G59" t="str">
            <v>https://www.ifbappliances.com/executive-mbn-9014k</v>
          </cell>
          <cell r="H59">
            <v>53090</v>
          </cell>
          <cell r="J59">
            <v>46719.199999999997</v>
          </cell>
          <cell r="K59" t="str">
            <v>IFB</v>
          </cell>
          <cell r="L59">
            <v>9</v>
          </cell>
          <cell r="M59">
            <v>1400</v>
          </cell>
          <cell r="N59">
            <v>75</v>
          </cell>
          <cell r="O59">
            <v>5</v>
          </cell>
          <cell r="P59">
            <v>8.9</v>
          </cell>
          <cell r="Q59">
            <v>7.0000000000000007E-2</v>
          </cell>
          <cell r="R59" t="str">
            <v>Mocha</v>
          </cell>
          <cell r="S59" t="str">
            <v>LED</v>
          </cell>
          <cell r="T59" t="str">
            <v>AI</v>
          </cell>
          <cell r="U59" t="str">
            <v>Power Steam</v>
          </cell>
          <cell r="V59" t="str">
            <v>Eco Inverter Motor</v>
          </cell>
          <cell r="W59" t="str">
            <v>Aqua Energie</v>
          </cell>
          <cell r="X59" t="str">
            <v>3D Wash System</v>
          </cell>
          <cell r="Y59" t="str">
            <v>Refresh</v>
          </cell>
          <cell r="Z59" t="str">
            <v>9 Swirl</v>
          </cell>
          <cell r="AA59" t="str">
            <v>WiFi</v>
          </cell>
          <cell r="AB59" t="str">
            <v>Voice</v>
          </cell>
          <cell r="AD59" t="str">
            <v>Auto Imbalance Vibration</v>
          </cell>
          <cell r="AE59" t="str">
            <v>High Low Voltage Protection</v>
          </cell>
          <cell r="AF59" t="str">
            <v>Foam Detection</v>
          </cell>
          <cell r="AG59" t="str">
            <v>Auto Restart</v>
          </cell>
          <cell r="AH59" t="str">
            <v>Self Diagnosis</v>
          </cell>
          <cell r="AI59" t="str">
            <v>Steam</v>
          </cell>
          <cell r="AJ59" t="str">
            <v>Prewash</v>
          </cell>
          <cell r="AK59" t="str">
            <v>Warm Soak</v>
          </cell>
          <cell r="AL59" t="str">
            <v>Extra Rinse</v>
          </cell>
          <cell r="AM59" t="str">
            <v>Hot Rinse</v>
          </cell>
          <cell r="AN59" t="str">
            <v>Anticrease</v>
          </cell>
          <cell r="AO59" t="str">
            <v>A+</v>
          </cell>
        </row>
        <row r="60">
          <cell r="B60" t="str">
            <v>Senator SXN 8014</v>
          </cell>
          <cell r="C60">
            <v>8903287026881</v>
          </cell>
          <cell r="D60" t="str">
            <v>SENATOR SXN 8014, FLU, 45490</v>
          </cell>
          <cell r="E60" t="str">
            <v>WM</v>
          </cell>
          <cell r="F60" t="str">
            <v>FLM</v>
          </cell>
          <cell r="G60" t="str">
            <v>https://www.ifbappliances.com/senator-sxn-8014</v>
          </cell>
          <cell r="H60">
            <v>47090</v>
          </cell>
          <cell r="I60">
            <v>45490</v>
          </cell>
          <cell r="J60">
            <v>47090</v>
          </cell>
          <cell r="K60" t="str">
            <v>IFB</v>
          </cell>
          <cell r="L60">
            <v>8</v>
          </cell>
          <cell r="M60">
            <v>1400</v>
          </cell>
          <cell r="N60">
            <v>71</v>
          </cell>
          <cell r="O60">
            <v>5</v>
          </cell>
          <cell r="P60">
            <v>8.9</v>
          </cell>
          <cell r="Q60">
            <v>7.0000000000000007E-2</v>
          </cell>
          <cell r="R60" t="str">
            <v>Silver</v>
          </cell>
          <cell r="S60" t="str">
            <v>LED</v>
          </cell>
          <cell r="T60" t="str">
            <v>AI</v>
          </cell>
          <cell r="U60" t="str">
            <v>Power Steam</v>
          </cell>
          <cell r="V60" t="str">
            <v>Eco Inverter Motor</v>
          </cell>
          <cell r="W60" t="str">
            <v>Aqua Energie</v>
          </cell>
          <cell r="X60" t="str">
            <v>3D Wash System</v>
          </cell>
          <cell r="Y60" t="str">
            <v>Refresh</v>
          </cell>
          <cell r="Z60" t="str">
            <v>9 Swirl</v>
          </cell>
          <cell r="AA60" t="str">
            <v>WiFi</v>
          </cell>
          <cell r="AB60" t="str">
            <v>Voice</v>
          </cell>
          <cell r="AD60" t="str">
            <v>Auto Imbalance Vibration</v>
          </cell>
          <cell r="AE60" t="str">
            <v>High Low Voltage Protection</v>
          </cell>
          <cell r="AF60" t="str">
            <v>Foam Detection</v>
          </cell>
          <cell r="AG60" t="str">
            <v>Auto Restart</v>
          </cell>
          <cell r="AH60" t="str">
            <v>Self Diagnosis</v>
          </cell>
          <cell r="AI60" t="str">
            <v>Steam</v>
          </cell>
          <cell r="AJ60" t="str">
            <v>Prewash</v>
          </cell>
          <cell r="AK60" t="str">
            <v>Warm Soak</v>
          </cell>
          <cell r="AL60" t="str">
            <v>Extra Rinse</v>
          </cell>
          <cell r="AM60" t="str">
            <v>Hot Rinse</v>
          </cell>
          <cell r="AN60" t="str">
            <v>Anticrease</v>
          </cell>
          <cell r="AO60" t="str">
            <v>B</v>
          </cell>
        </row>
        <row r="61">
          <cell r="B61" t="str">
            <v>Executive BXN 9014K</v>
          </cell>
          <cell r="E61" t="str">
            <v>WM</v>
          </cell>
          <cell r="F61" t="str">
            <v>FLM</v>
          </cell>
          <cell r="G61" t="str">
            <v>https://www.ifbappliances.com/executive-bxn-9014k</v>
          </cell>
          <cell r="H61">
            <v>52090</v>
          </cell>
          <cell r="J61">
            <v>45839.199999999997</v>
          </cell>
          <cell r="K61" t="str">
            <v>IFB</v>
          </cell>
          <cell r="L61">
            <v>9</v>
          </cell>
          <cell r="M61">
            <v>1400</v>
          </cell>
          <cell r="N61">
            <v>75</v>
          </cell>
          <cell r="O61">
            <v>5</v>
          </cell>
          <cell r="P61">
            <v>8.9</v>
          </cell>
          <cell r="Q61">
            <v>7.0000000000000007E-2</v>
          </cell>
          <cell r="R61" t="str">
            <v>Black</v>
          </cell>
          <cell r="S61" t="str">
            <v>LED</v>
          </cell>
          <cell r="T61" t="str">
            <v>AI</v>
          </cell>
          <cell r="U61" t="str">
            <v>Power Steam</v>
          </cell>
          <cell r="V61" t="str">
            <v>Eco Inverter Motor</v>
          </cell>
          <cell r="W61" t="str">
            <v>Aqua Energie</v>
          </cell>
          <cell r="X61" t="str">
            <v>3D Wash System</v>
          </cell>
          <cell r="Y61" t="str">
            <v>Refresh</v>
          </cell>
          <cell r="Z61" t="str">
            <v>9 Swirl</v>
          </cell>
          <cell r="AA61" t="str">
            <v>WiFi</v>
          </cell>
          <cell r="AB61" t="str">
            <v>Voice</v>
          </cell>
          <cell r="AD61" t="str">
            <v>Auto Imbalance Vibration</v>
          </cell>
          <cell r="AE61" t="str">
            <v>High Low Voltage Protection</v>
          </cell>
          <cell r="AF61" t="str">
            <v>Foam Detection</v>
          </cell>
          <cell r="AG61" t="str">
            <v>Auto Restart</v>
          </cell>
          <cell r="AH61" t="str">
            <v>Self Diagnosis</v>
          </cell>
          <cell r="AI61" t="str">
            <v>Steam</v>
          </cell>
          <cell r="AJ61" t="str">
            <v>Prewash</v>
          </cell>
          <cell r="AK61" t="str">
            <v>Warm Soak</v>
          </cell>
          <cell r="AL61" t="str">
            <v>Extra Rinse</v>
          </cell>
          <cell r="AM61" t="str">
            <v>Hot Rinse</v>
          </cell>
          <cell r="AN61" t="str">
            <v>Anticrease</v>
          </cell>
          <cell r="AO61" t="str">
            <v>A+</v>
          </cell>
        </row>
        <row r="62">
          <cell r="B62" t="str">
            <v>Senator BXN 8012</v>
          </cell>
          <cell r="E62" t="str">
            <v>WM</v>
          </cell>
          <cell r="F62" t="str">
            <v>FLM</v>
          </cell>
          <cell r="G62" t="str">
            <v>https://www.ifbappliances.com/senator-bxn-8012</v>
          </cell>
          <cell r="H62">
            <v>45990</v>
          </cell>
          <cell r="J62">
            <v>45990</v>
          </cell>
          <cell r="K62" t="str">
            <v>IFB</v>
          </cell>
          <cell r="L62">
            <v>8</v>
          </cell>
          <cell r="M62">
            <v>1200</v>
          </cell>
          <cell r="N62">
            <v>71</v>
          </cell>
          <cell r="O62">
            <v>5</v>
          </cell>
          <cell r="P62">
            <v>8.9</v>
          </cell>
          <cell r="Q62">
            <v>7.0000000000000007E-2</v>
          </cell>
          <cell r="R62" t="str">
            <v>Black</v>
          </cell>
          <cell r="S62" t="str">
            <v>LED</v>
          </cell>
          <cell r="T62" t="str">
            <v>AI</v>
          </cell>
          <cell r="U62" t="str">
            <v>Power Steam</v>
          </cell>
          <cell r="V62" t="str">
            <v>Eco Inverter Motor</v>
          </cell>
          <cell r="W62" t="str">
            <v>Aqua Energie</v>
          </cell>
          <cell r="X62" t="str">
            <v>3D Wash System</v>
          </cell>
          <cell r="Y62" t="str">
            <v>Refresh</v>
          </cell>
          <cell r="Z62" t="str">
            <v>9 Swirl</v>
          </cell>
          <cell r="AA62" t="str">
            <v>WiFi</v>
          </cell>
          <cell r="AB62" t="str">
            <v>Voice</v>
          </cell>
          <cell r="AD62" t="str">
            <v>Auto Imbalance Vibration</v>
          </cell>
          <cell r="AE62" t="str">
            <v>High Low Voltage Protection</v>
          </cell>
          <cell r="AF62" t="str">
            <v>Foam Detection</v>
          </cell>
          <cell r="AG62" t="str">
            <v>Auto Restart</v>
          </cell>
          <cell r="AH62" t="str">
            <v>Self Diagnosis</v>
          </cell>
          <cell r="AI62" t="str">
            <v>Steam</v>
          </cell>
          <cell r="AJ62" t="str">
            <v>Prewash</v>
          </cell>
          <cell r="AK62" t="str">
            <v>Warm Soak</v>
          </cell>
          <cell r="AL62" t="str">
            <v>Extra Rinse</v>
          </cell>
          <cell r="AM62" t="str">
            <v>Hot Rinse</v>
          </cell>
          <cell r="AN62" t="str">
            <v>Anticrease</v>
          </cell>
          <cell r="AO62" t="str">
            <v>B</v>
          </cell>
        </row>
        <row r="63">
          <cell r="B63" t="str">
            <v>Executive MSN 9014K</v>
          </cell>
          <cell r="E63" t="str">
            <v>WM</v>
          </cell>
          <cell r="F63" t="str">
            <v>FLM</v>
          </cell>
          <cell r="G63" t="str">
            <v>https://www.ifbappliances.com/executive-msn-9014k</v>
          </cell>
          <cell r="H63">
            <v>50090</v>
          </cell>
          <cell r="J63">
            <v>44079.199999999997</v>
          </cell>
          <cell r="K63" t="str">
            <v>IFB</v>
          </cell>
          <cell r="L63">
            <v>9</v>
          </cell>
          <cell r="M63">
            <v>1400</v>
          </cell>
          <cell r="N63">
            <v>75</v>
          </cell>
          <cell r="O63">
            <v>5</v>
          </cell>
          <cell r="P63">
            <v>8.9</v>
          </cell>
          <cell r="Q63">
            <v>7.0000000000000007E-2</v>
          </cell>
          <cell r="R63" t="str">
            <v>Silver</v>
          </cell>
          <cell r="S63" t="str">
            <v>LED</v>
          </cell>
          <cell r="T63" t="str">
            <v>AI</v>
          </cell>
          <cell r="U63" t="str">
            <v>Power Steam</v>
          </cell>
          <cell r="V63" t="str">
            <v>Eco Inverter Motor</v>
          </cell>
          <cell r="W63" t="str">
            <v>Aqua Energie</v>
          </cell>
          <cell r="X63" t="str">
            <v>3D Wash System</v>
          </cell>
          <cell r="Y63" t="str">
            <v>Refresh</v>
          </cell>
          <cell r="Z63" t="str">
            <v>9 Swirl</v>
          </cell>
          <cell r="AA63" t="str">
            <v>WiFi</v>
          </cell>
          <cell r="AB63" t="str">
            <v>Voice</v>
          </cell>
          <cell r="AD63" t="str">
            <v>Auto Imbalance Vibration</v>
          </cell>
          <cell r="AE63" t="str">
            <v>High Low Voltage Protection</v>
          </cell>
          <cell r="AF63" t="str">
            <v>Foam Detection</v>
          </cell>
          <cell r="AG63" t="str">
            <v>Auto Restart</v>
          </cell>
          <cell r="AH63" t="str">
            <v>Self Diagnosis</v>
          </cell>
          <cell r="AI63" t="str">
            <v>Steam</v>
          </cell>
          <cell r="AJ63" t="str">
            <v>Prewash</v>
          </cell>
          <cell r="AK63" t="str">
            <v>Warm Soak</v>
          </cell>
          <cell r="AL63" t="str">
            <v>Extra Rinse</v>
          </cell>
          <cell r="AM63" t="str">
            <v>Hot Rinse</v>
          </cell>
          <cell r="AN63" t="str">
            <v>Anticrease</v>
          </cell>
          <cell r="AO63" t="str">
            <v>A</v>
          </cell>
        </row>
        <row r="64">
          <cell r="B64" t="str">
            <v>Senator MBN 8012</v>
          </cell>
          <cell r="E64" t="str">
            <v>WM</v>
          </cell>
          <cell r="F64" t="str">
            <v>FLM</v>
          </cell>
          <cell r="G64" t="str">
            <v>https://www.ifbappliances.com/senator-mbn-8012</v>
          </cell>
          <cell r="H64">
            <v>46490</v>
          </cell>
          <cell r="J64">
            <v>40911.199999999997</v>
          </cell>
          <cell r="K64" t="str">
            <v>IFB</v>
          </cell>
          <cell r="L64">
            <v>8</v>
          </cell>
          <cell r="M64">
            <v>1200</v>
          </cell>
          <cell r="N64">
            <v>71</v>
          </cell>
          <cell r="O64">
            <v>5</v>
          </cell>
          <cell r="P64">
            <v>8.9</v>
          </cell>
          <cell r="Q64">
            <v>7.0000000000000007E-2</v>
          </cell>
          <cell r="R64" t="str">
            <v>Mocha</v>
          </cell>
          <cell r="S64" t="str">
            <v>LED</v>
          </cell>
          <cell r="T64" t="str">
            <v>AI</v>
          </cell>
          <cell r="U64" t="str">
            <v>Power Steam</v>
          </cell>
          <cell r="V64" t="str">
            <v>Eco Inverter Motor</v>
          </cell>
          <cell r="W64" t="str">
            <v>Aqua Energie</v>
          </cell>
          <cell r="X64" t="str">
            <v>3D Wash System</v>
          </cell>
          <cell r="Y64" t="str">
            <v>Refresh</v>
          </cell>
          <cell r="Z64" t="str">
            <v>9 Swirl</v>
          </cell>
          <cell r="AA64" t="str">
            <v>WiFi</v>
          </cell>
          <cell r="AB64" t="str">
            <v>Voice</v>
          </cell>
          <cell r="AD64" t="str">
            <v>Auto Imbalance Vibration</v>
          </cell>
          <cell r="AE64" t="str">
            <v>High Low Voltage Protection</v>
          </cell>
          <cell r="AF64" t="str">
            <v>Foam Detection</v>
          </cell>
          <cell r="AG64" t="str">
            <v>Auto Restart</v>
          </cell>
          <cell r="AH64" t="str">
            <v>Self Diagnosis</v>
          </cell>
          <cell r="AI64" t="str">
            <v>Steam</v>
          </cell>
          <cell r="AJ64" t="str">
            <v>Prewash</v>
          </cell>
          <cell r="AK64" t="str">
            <v>Warm Soak</v>
          </cell>
          <cell r="AL64" t="str">
            <v>Extra Rinse</v>
          </cell>
          <cell r="AM64" t="str">
            <v>Hot Rinse</v>
          </cell>
          <cell r="AN64" t="str">
            <v>Anticrease</v>
          </cell>
          <cell r="AO64" t="str">
            <v>B</v>
          </cell>
        </row>
        <row r="65">
          <cell r="B65" t="str">
            <v>Executive SXN 9014K</v>
          </cell>
          <cell r="E65" t="str">
            <v>WM</v>
          </cell>
          <cell r="F65" t="str">
            <v>FLM</v>
          </cell>
          <cell r="G65" t="str">
            <v>https://www.ifbappliances.com/executive-sxn-9014k</v>
          </cell>
          <cell r="H65">
            <v>49090</v>
          </cell>
          <cell r="J65">
            <v>49090</v>
          </cell>
          <cell r="K65" t="str">
            <v>IFB</v>
          </cell>
          <cell r="L65">
            <v>9</v>
          </cell>
          <cell r="M65">
            <v>1400</v>
          </cell>
          <cell r="N65">
            <v>75</v>
          </cell>
          <cell r="O65">
            <v>5</v>
          </cell>
          <cell r="P65">
            <v>8.9</v>
          </cell>
          <cell r="Q65">
            <v>7.0000000000000007E-2</v>
          </cell>
          <cell r="R65" t="str">
            <v>Silver</v>
          </cell>
          <cell r="S65" t="str">
            <v>LED</v>
          </cell>
          <cell r="T65" t="str">
            <v>AI</v>
          </cell>
          <cell r="U65" t="str">
            <v>Power Steam</v>
          </cell>
          <cell r="V65" t="str">
            <v>Eco Inverter Motor</v>
          </cell>
          <cell r="W65" t="str">
            <v>Aqua Energie</v>
          </cell>
          <cell r="X65" t="str">
            <v>3D Wash System</v>
          </cell>
          <cell r="Y65" t="str">
            <v>Refresh</v>
          </cell>
          <cell r="Z65" t="str">
            <v>9 Swirl</v>
          </cell>
          <cell r="AA65" t="str">
            <v>WiFi</v>
          </cell>
          <cell r="AB65" t="str">
            <v>Voice</v>
          </cell>
          <cell r="AD65" t="str">
            <v>Auto Imbalance Vibration</v>
          </cell>
          <cell r="AE65" t="str">
            <v>High Low Voltage Protection</v>
          </cell>
          <cell r="AF65" t="str">
            <v>Foam Detection</v>
          </cell>
          <cell r="AG65" t="str">
            <v>Auto Restart</v>
          </cell>
          <cell r="AH65" t="str">
            <v>Self Diagnosis</v>
          </cell>
          <cell r="AI65" t="str">
            <v>Steam</v>
          </cell>
          <cell r="AJ65" t="str">
            <v>Prewash</v>
          </cell>
          <cell r="AK65" t="str">
            <v>Warm Soak</v>
          </cell>
          <cell r="AL65" t="str">
            <v>Extra Rinse</v>
          </cell>
          <cell r="AM65" t="str">
            <v>Hot Rinse</v>
          </cell>
          <cell r="AN65" t="str">
            <v>Anticrease</v>
          </cell>
          <cell r="AO65" t="str">
            <v>A</v>
          </cell>
        </row>
      </sheetData>
      <sheetData sheetId="1">
        <row r="2">
          <cell r="B2" t="str">
            <v>TL - SIBS 10 kg Aqua</v>
          </cell>
          <cell r="C2">
            <v>8903287022425</v>
          </cell>
          <cell r="D2" t="str">
            <v>TL-SIBS 10.0KG AQUA, TLM, 41990</v>
          </cell>
          <cell r="E2" t="str">
            <v>WM</v>
          </cell>
          <cell r="F2" t="str">
            <v>TLM</v>
          </cell>
          <cell r="G2" t="str">
            <v>https://www.ifbappliances.com/senator-plus-msc-8014</v>
          </cell>
          <cell r="H2">
            <v>41990</v>
          </cell>
          <cell r="I2">
            <v>41990</v>
          </cell>
          <cell r="J2">
            <v>36951.199999999997</v>
          </cell>
          <cell r="K2" t="str">
            <v>IFB</v>
          </cell>
          <cell r="L2">
            <v>10</v>
          </cell>
          <cell r="M2">
            <v>720</v>
          </cell>
          <cell r="N2">
            <v>46</v>
          </cell>
          <cell r="O2">
            <v>5</v>
          </cell>
          <cell r="P2">
            <v>16</v>
          </cell>
          <cell r="Q2">
            <v>1.2999999999999999E-2</v>
          </cell>
          <cell r="R2" t="str">
            <v>Inox</v>
          </cell>
          <cell r="T2" t="str">
            <v>AI</v>
          </cell>
          <cell r="U2" t="str">
            <v>Power Steam</v>
          </cell>
          <cell r="V2" t="str">
            <v>Heater</v>
          </cell>
          <cell r="W2" t="str">
            <v>Aqua Energie</v>
          </cell>
          <cell r="X2" t="str">
            <v>4D Wash System</v>
          </cell>
          <cell r="Y2" t="str">
            <v>Auto Tub Clean</v>
          </cell>
          <cell r="Z2" t="str">
            <v>Bi-axial Movement</v>
          </cell>
          <cell r="AA2" t="str">
            <v>Smart Sense</v>
          </cell>
          <cell r="AB2" t="str">
            <v>Machine Mobility</v>
          </cell>
          <cell r="AC2" t="str">
            <v>Soft Close Door</v>
          </cell>
          <cell r="AE2" t="str">
            <v>Auto Imbalance Vibration</v>
          </cell>
          <cell r="AF2" t="str">
            <v>High Low Voltage Protection</v>
          </cell>
          <cell r="AG2" t="str">
            <v>Program Memory Backup</v>
          </cell>
          <cell r="AH2" t="str">
            <v>Child Lock</v>
          </cell>
          <cell r="AI2" t="str">
            <v>Machine Level Indicator</v>
          </cell>
          <cell r="AJ2" t="str">
            <v>Lint Tower Filter</v>
          </cell>
          <cell r="AK2" t="str">
            <v>Triadic Pulsator</v>
          </cell>
          <cell r="AL2" t="str">
            <v>Drum Lamp</v>
          </cell>
          <cell r="AM2" t="str">
            <v>Water Recirculation Pump</v>
          </cell>
          <cell r="AN2" t="str">
            <v>Delay Start</v>
          </cell>
          <cell r="AO2" t="str">
            <v>Spray Rinse</v>
          </cell>
          <cell r="AP2" t="str">
            <v>A+</v>
          </cell>
        </row>
        <row r="3">
          <cell r="B3" t="str">
            <v>TL - SLBS 9 kg Aqua</v>
          </cell>
          <cell r="C3">
            <v>8903287022418</v>
          </cell>
          <cell r="D3" t="str">
            <v>TL-SLBS 9.0KG AQUA, TLM, 39990</v>
          </cell>
          <cell r="E3" t="str">
            <v>WM</v>
          </cell>
          <cell r="F3" t="str">
            <v>TLM</v>
          </cell>
          <cell r="G3" t="str">
            <v>https://www.ifbappliances.com/tl-slbs-9-kg-aqua</v>
          </cell>
          <cell r="H3">
            <v>39990</v>
          </cell>
          <cell r="I3">
            <v>39990</v>
          </cell>
          <cell r="J3">
            <v>35191.199999999997</v>
          </cell>
          <cell r="K3" t="str">
            <v>IFB</v>
          </cell>
          <cell r="L3">
            <v>9</v>
          </cell>
          <cell r="M3">
            <v>720</v>
          </cell>
          <cell r="N3">
            <v>46</v>
          </cell>
          <cell r="O3">
            <v>5</v>
          </cell>
          <cell r="P3">
            <v>20</v>
          </cell>
          <cell r="Q3">
            <v>1.2999999999999999E-2</v>
          </cell>
          <cell r="R3" t="str">
            <v>Silver</v>
          </cell>
          <cell r="T3" t="str">
            <v>AI</v>
          </cell>
          <cell r="U3" t="str">
            <v>Power Steam</v>
          </cell>
          <cell r="V3" t="str">
            <v>Heater</v>
          </cell>
          <cell r="W3" t="str">
            <v>Aqua Energie</v>
          </cell>
          <cell r="X3" t="str">
            <v>4D Wash System</v>
          </cell>
          <cell r="Z3" t="str">
            <v>Bi-axial Movement</v>
          </cell>
          <cell r="AA3" t="str">
            <v>Smart Sense</v>
          </cell>
          <cell r="AB3" t="str">
            <v>Machine Mobility</v>
          </cell>
          <cell r="AC3" t="str">
            <v>Soft Close Door</v>
          </cell>
          <cell r="AE3" t="str">
            <v>Auto Imbalance Vibration</v>
          </cell>
          <cell r="AF3" t="str">
            <v>High Low Voltage Protection</v>
          </cell>
          <cell r="AG3" t="str">
            <v>Program Memory Backup</v>
          </cell>
          <cell r="AH3" t="str">
            <v>Child Lock</v>
          </cell>
          <cell r="AI3" t="str">
            <v>Machine Level Indicator</v>
          </cell>
          <cell r="AJ3" t="str">
            <v>Lint Tower Filter</v>
          </cell>
          <cell r="AK3" t="str">
            <v>Triadic Pulsator</v>
          </cell>
          <cell r="AL3" t="str">
            <v>Drum Lamp</v>
          </cell>
          <cell r="AM3" t="str">
            <v>Water Recirculation Pump</v>
          </cell>
          <cell r="AN3" t="str">
            <v>Delay Start</v>
          </cell>
          <cell r="AO3" t="str">
            <v>Spray Rinse</v>
          </cell>
          <cell r="AP3" t="str">
            <v>A+</v>
          </cell>
        </row>
        <row r="4">
          <cell r="B4" t="str">
            <v>TL - SPLS 8 kg Aqua</v>
          </cell>
          <cell r="C4">
            <v>8903287022395</v>
          </cell>
          <cell r="D4" t="str">
            <v>TL-SPLS 8.0KG AQUA, TLM, 38950</v>
          </cell>
          <cell r="E4" t="str">
            <v>WM</v>
          </cell>
          <cell r="F4" t="str">
            <v>TLM</v>
          </cell>
          <cell r="G4" t="str">
            <v>https://www.ifbappliances.com/tl-spls-8-kg-aqua</v>
          </cell>
          <cell r="H4">
            <v>38950</v>
          </cell>
          <cell r="I4">
            <v>38950</v>
          </cell>
          <cell r="J4">
            <v>34276</v>
          </cell>
          <cell r="K4" t="str">
            <v>IFB</v>
          </cell>
          <cell r="L4">
            <v>8</v>
          </cell>
          <cell r="M4">
            <v>720</v>
          </cell>
          <cell r="N4">
            <v>38</v>
          </cell>
          <cell r="O4">
            <v>5</v>
          </cell>
          <cell r="P4">
            <v>17</v>
          </cell>
          <cell r="Q4">
            <v>1.2999999999999999E-2</v>
          </cell>
          <cell r="R4" t="str">
            <v>Silver</v>
          </cell>
          <cell r="U4" t="str">
            <v>Power Steam</v>
          </cell>
          <cell r="V4" t="str">
            <v>Heater</v>
          </cell>
          <cell r="W4" t="str">
            <v>Aqua Energie</v>
          </cell>
          <cell r="X4" t="str">
            <v>3D Wash System</v>
          </cell>
          <cell r="Z4" t="str">
            <v>Bi-axial Movement</v>
          </cell>
          <cell r="AA4" t="str">
            <v>Smart Sense</v>
          </cell>
          <cell r="AB4" t="str">
            <v>Machine Mobility</v>
          </cell>
          <cell r="AC4" t="str">
            <v>Soft Close Door</v>
          </cell>
          <cell r="AE4" t="str">
            <v>Auto Imbalance Vibration</v>
          </cell>
          <cell r="AF4" t="str">
            <v>High Low Voltage Protection</v>
          </cell>
          <cell r="AG4" t="str">
            <v>Program Memory Backup</v>
          </cell>
          <cell r="AH4" t="str">
            <v>Child Lock</v>
          </cell>
          <cell r="AJ4" t="str">
            <v>Lint Tower Filter</v>
          </cell>
          <cell r="AK4" t="str">
            <v>Triadic Pulsator</v>
          </cell>
          <cell r="AN4" t="str">
            <v>Delay Start</v>
          </cell>
          <cell r="AO4" t="str">
            <v>Spray Rinse</v>
          </cell>
          <cell r="AP4" t="str">
            <v>A+</v>
          </cell>
        </row>
        <row r="5">
          <cell r="B5" t="str">
            <v>TL - SBRS 8 kg Aqua</v>
          </cell>
          <cell r="C5">
            <v>8903287022388</v>
          </cell>
          <cell r="D5" t="str">
            <v>TL-SBRS 8.0KG AQUA, TLM, 38950</v>
          </cell>
          <cell r="E5" t="str">
            <v>WM</v>
          </cell>
          <cell r="F5" t="str">
            <v>TLM</v>
          </cell>
          <cell r="G5" t="str">
            <v>https://www.ifbappliances.com/tl-sbrs-8-kg-aqua</v>
          </cell>
          <cell r="H5">
            <v>38950</v>
          </cell>
          <cell r="I5">
            <v>38950</v>
          </cell>
          <cell r="J5">
            <v>34276</v>
          </cell>
          <cell r="K5" t="str">
            <v>IFB</v>
          </cell>
          <cell r="L5">
            <v>8</v>
          </cell>
          <cell r="M5">
            <v>720</v>
          </cell>
          <cell r="N5">
            <v>38</v>
          </cell>
          <cell r="O5">
            <v>5</v>
          </cell>
          <cell r="P5">
            <v>17</v>
          </cell>
          <cell r="Q5">
            <v>1.2999999999999999E-2</v>
          </cell>
          <cell r="R5" t="str">
            <v>Brown</v>
          </cell>
          <cell r="T5" t="str">
            <v>AI</v>
          </cell>
          <cell r="U5" t="str">
            <v>Power Steam</v>
          </cell>
          <cell r="V5" t="str">
            <v>Heater</v>
          </cell>
          <cell r="W5" t="str">
            <v>Aqua Energie</v>
          </cell>
          <cell r="X5" t="str">
            <v>3D Wash System</v>
          </cell>
          <cell r="Z5" t="str">
            <v>Bi-axial Movement</v>
          </cell>
          <cell r="AA5" t="str">
            <v>Smart Sense</v>
          </cell>
          <cell r="AB5" t="str">
            <v>Machine Mobility</v>
          </cell>
          <cell r="AC5" t="str">
            <v>Soft Close Door</v>
          </cell>
          <cell r="AE5" t="str">
            <v>Auto Imbalance Vibration</v>
          </cell>
          <cell r="AF5" t="str">
            <v>High Low Voltage Protection</v>
          </cell>
          <cell r="AG5" t="str">
            <v>Program Memory Backup</v>
          </cell>
          <cell r="AH5" t="str">
            <v>Child Lock</v>
          </cell>
          <cell r="AJ5" t="str">
            <v>Lint Tower Filter</v>
          </cell>
          <cell r="AK5" t="str">
            <v>Triadic Pulsator</v>
          </cell>
          <cell r="AN5" t="str">
            <v>Delay Start</v>
          </cell>
          <cell r="AO5" t="str">
            <v>Spray Rinse</v>
          </cell>
          <cell r="AP5" t="str">
            <v>A+</v>
          </cell>
        </row>
        <row r="6">
          <cell r="B6" t="str">
            <v>TL - RPSS 7 kg Aqua</v>
          </cell>
          <cell r="C6">
            <v>8903287022364</v>
          </cell>
          <cell r="D6" t="str">
            <v>TL-RPSS 7.0KG AQUA, TLM, 30550</v>
          </cell>
          <cell r="E6" t="str">
            <v>WM</v>
          </cell>
          <cell r="F6" t="str">
            <v>TLM</v>
          </cell>
          <cell r="G6" t="str">
            <v>https://www.ifbappliances.com/tl-rpss-7-kg-aqua</v>
          </cell>
          <cell r="H6">
            <v>30550</v>
          </cell>
          <cell r="I6">
            <v>30550</v>
          </cell>
          <cell r="J6">
            <v>26884</v>
          </cell>
          <cell r="K6" t="str">
            <v>IFB</v>
          </cell>
          <cell r="L6">
            <v>7</v>
          </cell>
          <cell r="M6">
            <v>720</v>
          </cell>
          <cell r="N6">
            <v>37</v>
          </cell>
          <cell r="O6">
            <v>5</v>
          </cell>
          <cell r="P6">
            <v>18</v>
          </cell>
          <cell r="Q6">
            <v>1.2999999999999999E-2</v>
          </cell>
          <cell r="R6" t="str">
            <v>Grey</v>
          </cell>
          <cell r="T6" t="str">
            <v>AI</v>
          </cell>
          <cell r="U6" t="str">
            <v>Power Steam</v>
          </cell>
          <cell r="V6" t="str">
            <v>Heater</v>
          </cell>
          <cell r="W6" t="str">
            <v>Aqua Energie</v>
          </cell>
          <cell r="X6" t="str">
            <v>3D Wash System</v>
          </cell>
          <cell r="Z6" t="str">
            <v>Bi-axial Movement</v>
          </cell>
          <cell r="AA6" t="str">
            <v>Smart Sense</v>
          </cell>
          <cell r="AB6" t="str">
            <v>Machine Mobility</v>
          </cell>
          <cell r="AE6" t="str">
            <v>Auto Imbalance Vibration</v>
          </cell>
          <cell r="AF6" t="str">
            <v>High Low Voltage Protection</v>
          </cell>
          <cell r="AG6" t="str">
            <v>Program Memory Backup</v>
          </cell>
          <cell r="AH6" t="str">
            <v>Child Lock</v>
          </cell>
          <cell r="AJ6" t="str">
            <v>Lint Tower Filter</v>
          </cell>
          <cell r="AK6" t="str">
            <v>Triadic Pulsator</v>
          </cell>
          <cell r="AN6" t="str">
            <v>Delay Start</v>
          </cell>
          <cell r="AO6" t="str">
            <v>Spray Rinse</v>
          </cell>
          <cell r="AP6" t="str">
            <v>B</v>
          </cell>
        </row>
        <row r="7">
          <cell r="B7" t="str">
            <v>TL - REGS 7 kg Aqua</v>
          </cell>
          <cell r="C7">
            <v>8903287022357</v>
          </cell>
          <cell r="D7" t="str">
            <v>TL-REGS 7.0KG AQUA, TLM, 29350</v>
          </cell>
          <cell r="E7" t="str">
            <v>WM</v>
          </cell>
          <cell r="F7" t="str">
            <v>TLM</v>
          </cell>
          <cell r="G7" t="str">
            <v>https://www.ifbappliances.com/tl-regs-7kg</v>
          </cell>
          <cell r="H7">
            <v>29350</v>
          </cell>
          <cell r="I7">
            <v>29350</v>
          </cell>
          <cell r="J7">
            <v>25828</v>
          </cell>
          <cell r="K7" t="str">
            <v>IFB</v>
          </cell>
          <cell r="L7">
            <v>7</v>
          </cell>
          <cell r="M7">
            <v>720</v>
          </cell>
          <cell r="N7">
            <v>35</v>
          </cell>
          <cell r="O7">
            <v>5</v>
          </cell>
          <cell r="P7">
            <v>16</v>
          </cell>
          <cell r="Q7">
            <v>1.2999999999999999E-2</v>
          </cell>
          <cell r="R7" t="str">
            <v>Grey</v>
          </cell>
          <cell r="T7" t="str">
            <v>AI</v>
          </cell>
          <cell r="U7" t="str">
            <v>Power Steam</v>
          </cell>
          <cell r="V7" t="str">
            <v>Heater</v>
          </cell>
          <cell r="W7" t="str">
            <v>Aqua Energie</v>
          </cell>
          <cell r="X7" t="str">
            <v>3D Wash System</v>
          </cell>
          <cell r="Y7" t="str">
            <v>Auto Tub Clean</v>
          </cell>
          <cell r="Z7" t="str">
            <v>Bi-axial Movement</v>
          </cell>
          <cell r="AA7" t="str">
            <v>Smart Sense</v>
          </cell>
          <cell r="AB7" t="str">
            <v>Machine Mobility</v>
          </cell>
          <cell r="AE7" t="str">
            <v>Auto Imbalance Vibration</v>
          </cell>
          <cell r="AF7" t="str">
            <v>High Low Voltage Protection</v>
          </cell>
          <cell r="AG7" t="str">
            <v>Program Memory Backup</v>
          </cell>
          <cell r="AH7" t="str">
            <v>Child Lock</v>
          </cell>
          <cell r="AJ7" t="str">
            <v>Lint Tower Filter</v>
          </cell>
          <cell r="AK7" t="str">
            <v>Triadic Pulsator</v>
          </cell>
          <cell r="AP7" t="str">
            <v>C</v>
          </cell>
        </row>
        <row r="8">
          <cell r="B8" t="str">
            <v>TL - SPGS 7 kg Aqua</v>
          </cell>
          <cell r="C8">
            <v>8903287022371</v>
          </cell>
          <cell r="D8" t="str">
            <v>TL-SPGS 7.0KG AQUA, TLM, 34450</v>
          </cell>
          <cell r="E8" t="str">
            <v>WM</v>
          </cell>
          <cell r="F8" t="str">
            <v>TLM</v>
          </cell>
          <cell r="G8" t="str">
            <v>https://www.ifbappliances.com/tl-spgs-7-kg-aqua</v>
          </cell>
          <cell r="H8">
            <v>34450</v>
          </cell>
          <cell r="I8">
            <v>34450</v>
          </cell>
          <cell r="J8">
            <v>30316</v>
          </cell>
          <cell r="K8" t="str">
            <v>IFB</v>
          </cell>
          <cell r="L8">
            <v>7</v>
          </cell>
          <cell r="M8">
            <v>720</v>
          </cell>
          <cell r="N8">
            <v>37</v>
          </cell>
          <cell r="O8">
            <v>5</v>
          </cell>
          <cell r="P8">
            <v>18</v>
          </cell>
          <cell r="Q8">
            <v>1.2999999999999999E-2</v>
          </cell>
          <cell r="R8" t="str">
            <v>Grey</v>
          </cell>
          <cell r="T8" t="str">
            <v>AI</v>
          </cell>
          <cell r="U8" t="str">
            <v>Power Steam</v>
          </cell>
          <cell r="V8" t="str">
            <v>Heater</v>
          </cell>
          <cell r="W8" t="str">
            <v>Aqua Energie</v>
          </cell>
          <cell r="X8" t="str">
            <v>3D Wash System</v>
          </cell>
          <cell r="Z8" t="str">
            <v>Bi-axial Movement</v>
          </cell>
          <cell r="AA8" t="str">
            <v>Smart Sense</v>
          </cell>
          <cell r="AB8" t="str">
            <v>Machine Mobility</v>
          </cell>
          <cell r="AC8" t="str">
            <v>Soft Close Door</v>
          </cell>
          <cell r="AE8" t="str">
            <v>Auto Imbalance Vibration</v>
          </cell>
          <cell r="AF8" t="str">
            <v>High Low Voltage Protection</v>
          </cell>
          <cell r="AG8" t="str">
            <v>Program Memory Backup</v>
          </cell>
          <cell r="AH8" t="str">
            <v>Child Lock</v>
          </cell>
          <cell r="AJ8" t="str">
            <v>Lint Tower Filter</v>
          </cell>
          <cell r="AK8" t="str">
            <v>Triadic Pulsator</v>
          </cell>
          <cell r="AN8" t="str">
            <v>Delay Start</v>
          </cell>
          <cell r="AO8" t="str">
            <v>Spray Rinse</v>
          </cell>
          <cell r="AP8" t="str">
            <v>B</v>
          </cell>
        </row>
        <row r="9">
          <cell r="B9" t="str">
            <v>TL - RPSS 6.5 kg Aqua</v>
          </cell>
          <cell r="C9">
            <v>8903287022302</v>
          </cell>
          <cell r="D9" t="str">
            <v>TL-RPSS 6.5KG AQUA, TLM, 28450</v>
          </cell>
          <cell r="E9" t="str">
            <v>WM</v>
          </cell>
          <cell r="F9" t="str">
            <v>TLM</v>
          </cell>
          <cell r="G9" t="str">
            <v>https://www.ifbappliances.com/tl-rpss-6-5-kg-aqua</v>
          </cell>
          <cell r="H9">
            <v>28450</v>
          </cell>
          <cell r="I9">
            <v>28450</v>
          </cell>
          <cell r="J9">
            <v>25036</v>
          </cell>
          <cell r="K9" t="str">
            <v>IFB</v>
          </cell>
          <cell r="L9">
            <v>6.5</v>
          </cell>
          <cell r="M9">
            <v>720</v>
          </cell>
          <cell r="N9">
            <v>35</v>
          </cell>
          <cell r="O9">
            <v>5</v>
          </cell>
          <cell r="P9">
            <v>18</v>
          </cell>
          <cell r="Q9">
            <v>1.2999999999999999E-2</v>
          </cell>
          <cell r="R9" t="str">
            <v>Grey</v>
          </cell>
          <cell r="T9" t="str">
            <v>AI</v>
          </cell>
          <cell r="U9" t="str">
            <v>Power Steam</v>
          </cell>
          <cell r="V9" t="str">
            <v>Heater</v>
          </cell>
          <cell r="W9" t="str">
            <v>Aqua Energie</v>
          </cell>
          <cell r="X9" t="str">
            <v>3D Wash System</v>
          </cell>
          <cell r="Z9" t="str">
            <v>Bi-axial Movement</v>
          </cell>
          <cell r="AA9" t="str">
            <v>Smart Sense</v>
          </cell>
          <cell r="AB9" t="str">
            <v>Machine Mobility</v>
          </cell>
          <cell r="AE9" t="str">
            <v>Auto Imbalance Vibration</v>
          </cell>
          <cell r="AF9" t="str">
            <v>High Low Voltage Protection</v>
          </cell>
          <cell r="AG9" t="str">
            <v>Program Memory Backup</v>
          </cell>
          <cell r="AH9" t="str">
            <v>Child Lock</v>
          </cell>
          <cell r="AJ9" t="str">
            <v>Lint Tower Filter</v>
          </cell>
          <cell r="AK9" t="str">
            <v>Triadic Pulsator</v>
          </cell>
          <cell r="AN9" t="str">
            <v>Delay Start</v>
          </cell>
          <cell r="AO9" t="str">
            <v>Spray Rinse</v>
          </cell>
          <cell r="AP9" t="str">
            <v>C</v>
          </cell>
        </row>
        <row r="10">
          <cell r="B10" t="str">
            <v>TL - RES 6.5 kg Aqua</v>
          </cell>
          <cell r="C10">
            <v>8903287021961</v>
          </cell>
          <cell r="D10" t="str">
            <v>TL-RES 6.5KG AQUA, TLM, 25750</v>
          </cell>
          <cell r="E10" t="str">
            <v>WM</v>
          </cell>
          <cell r="F10" t="str">
            <v>TLM</v>
          </cell>
          <cell r="G10" t="str">
            <v>https://www.ifbappliances.com/tl-res</v>
          </cell>
          <cell r="H10">
            <v>25750</v>
          </cell>
          <cell r="I10">
            <v>25750</v>
          </cell>
          <cell r="J10">
            <v>22660</v>
          </cell>
          <cell r="K10" t="str">
            <v>IFB</v>
          </cell>
          <cell r="L10">
            <v>6.5</v>
          </cell>
          <cell r="M10">
            <v>720</v>
          </cell>
          <cell r="N10">
            <v>35</v>
          </cell>
          <cell r="O10">
            <v>5</v>
          </cell>
          <cell r="P10">
            <v>18</v>
          </cell>
          <cell r="Q10">
            <v>1.2999999999999999E-2</v>
          </cell>
          <cell r="R10" t="str">
            <v>Grey</v>
          </cell>
          <cell r="T10" t="str">
            <v>AI</v>
          </cell>
          <cell r="W10" t="str">
            <v>Aqua Energie</v>
          </cell>
          <cell r="X10" t="str">
            <v>3D Wash System</v>
          </cell>
          <cell r="Z10" t="str">
            <v>Bi-axial Movement</v>
          </cell>
          <cell r="AA10" t="str">
            <v>Smart Sense</v>
          </cell>
          <cell r="AB10" t="str">
            <v>Machine Mobility</v>
          </cell>
          <cell r="AE10" t="str">
            <v>Auto Imbalance Vibration</v>
          </cell>
          <cell r="AF10" t="str">
            <v>High Low Voltage Protection</v>
          </cell>
          <cell r="AG10" t="str">
            <v>Program Memory Backup</v>
          </cell>
          <cell r="AH10" t="str">
            <v>Child Lock</v>
          </cell>
          <cell r="AI10" t="str">
            <v>Machine Level Indicator</v>
          </cell>
          <cell r="AJ10" t="str">
            <v>Lint Tower Filter</v>
          </cell>
          <cell r="AK10" t="str">
            <v>Triadic Pulsator</v>
          </cell>
          <cell r="AP10" t="str">
            <v>C</v>
          </cell>
        </row>
        <row r="11">
          <cell r="B11" t="str">
            <v>TL R2WRS 6.5 Kg Aqua</v>
          </cell>
          <cell r="C11">
            <v>8903287027239</v>
          </cell>
          <cell r="D11" t="str">
            <v>TL-R2WRS 6.5KG AQUA, TLM, 30490</v>
          </cell>
          <cell r="E11" t="str">
            <v>WM</v>
          </cell>
          <cell r="F11" t="str">
            <v>TLM</v>
          </cell>
          <cell r="G11" t="str">
            <v>https://www.ifbappliances.com/tl-r2wrs-6-5-kg-aqua</v>
          </cell>
          <cell r="H11">
            <v>30490</v>
          </cell>
          <cell r="I11">
            <v>30490</v>
          </cell>
          <cell r="J11">
            <v>26831.200000000001</v>
          </cell>
          <cell r="K11" t="str">
            <v>IFB</v>
          </cell>
          <cell r="L11">
            <v>6.5</v>
          </cell>
          <cell r="M11">
            <v>720</v>
          </cell>
          <cell r="N11">
            <v>35</v>
          </cell>
          <cell r="O11">
            <v>5</v>
          </cell>
          <cell r="P11">
            <v>18</v>
          </cell>
          <cell r="Q11">
            <v>1.2999999999999999E-2</v>
          </cell>
          <cell r="R11" t="str">
            <v>Red</v>
          </cell>
          <cell r="T11" t="str">
            <v>AI</v>
          </cell>
          <cell r="U11" t="str">
            <v>Power Steam</v>
          </cell>
          <cell r="V11" t="str">
            <v>Heater</v>
          </cell>
          <cell r="W11" t="str">
            <v>Aqua Energie</v>
          </cell>
          <cell r="X11" t="str">
            <v>3D Wash System</v>
          </cell>
          <cell r="Z11" t="str">
            <v>Bi-axial Movement</v>
          </cell>
          <cell r="AA11" t="str">
            <v>Smart Sense</v>
          </cell>
          <cell r="AB11" t="str">
            <v>Machine Mobility</v>
          </cell>
          <cell r="AE11" t="str">
            <v>Auto Imbalance Vibration</v>
          </cell>
          <cell r="AF11" t="str">
            <v>High Low Voltage Protection</v>
          </cell>
          <cell r="AG11" t="str">
            <v>Program Memory Backup</v>
          </cell>
          <cell r="AH11" t="str">
            <v>Child Lock</v>
          </cell>
          <cell r="AJ11" t="str">
            <v>Lint Tower Filter</v>
          </cell>
          <cell r="AK11" t="str">
            <v>Triadic Pulsator</v>
          </cell>
          <cell r="AP11" t="str">
            <v>C</v>
          </cell>
        </row>
        <row r="12">
          <cell r="B12" t="str">
            <v>TL - R3SG 8 Kg Aqua</v>
          </cell>
          <cell r="C12">
            <v>8903287027031</v>
          </cell>
          <cell r="D12" t="str">
            <v>TL-R3SG 8.0KG AQUA, TLM, 34990</v>
          </cell>
          <cell r="E12" t="str">
            <v>WM</v>
          </cell>
          <cell r="F12" t="str">
            <v>TLM</v>
          </cell>
          <cell r="G12" t="str">
            <v>https://www.ifbappliances.com/tl-r3sg-8-kg-aqua</v>
          </cell>
          <cell r="H12">
            <v>34990</v>
          </cell>
          <cell r="I12">
            <v>34990</v>
          </cell>
          <cell r="J12">
            <v>30791.200000000001</v>
          </cell>
          <cell r="K12" t="str">
            <v>IFB</v>
          </cell>
          <cell r="L12">
            <v>8</v>
          </cell>
          <cell r="M12">
            <v>720</v>
          </cell>
          <cell r="N12">
            <v>38</v>
          </cell>
          <cell r="O12">
            <v>5</v>
          </cell>
          <cell r="P12">
            <v>17</v>
          </cell>
          <cell r="Q12">
            <v>1.2999999999999999E-2</v>
          </cell>
          <cell r="R12" t="str">
            <v>Grey</v>
          </cell>
          <cell r="T12" t="str">
            <v>AI</v>
          </cell>
          <cell r="W12" t="str">
            <v>Aqua Energie</v>
          </cell>
          <cell r="X12" t="str">
            <v>3D Wash System</v>
          </cell>
          <cell r="Z12" t="str">
            <v>Bi-axial Movement</v>
          </cell>
          <cell r="AA12" t="str">
            <v>Smart Sense</v>
          </cell>
          <cell r="AB12" t="str">
            <v>Machine Mobility</v>
          </cell>
          <cell r="AE12" t="str">
            <v>Auto Imbalance Vibration</v>
          </cell>
          <cell r="AF12" t="str">
            <v>High Low Voltage Protection</v>
          </cell>
          <cell r="AG12" t="str">
            <v>Program Memory Backup</v>
          </cell>
          <cell r="AH12" t="str">
            <v>Child Lock</v>
          </cell>
          <cell r="AJ12" t="str">
            <v>Lint Tower Filter</v>
          </cell>
          <cell r="AK12" t="str">
            <v>Triadic Pulsator</v>
          </cell>
          <cell r="AP12" t="str">
            <v>B</v>
          </cell>
        </row>
        <row r="13">
          <cell r="B13" t="str">
            <v>TL - RES 7 kg Aqua</v>
          </cell>
          <cell r="C13">
            <v>8903287022104</v>
          </cell>
          <cell r="D13" t="str">
            <v>TL-RES 7.0KG AQUA, TLM, 27290</v>
          </cell>
          <cell r="E13" t="str">
            <v>WM</v>
          </cell>
          <cell r="F13" t="str">
            <v>TLM</v>
          </cell>
          <cell r="G13" t="str">
            <v>https://www.ifbappliances.com/tl-res-7-kg-aqua</v>
          </cell>
          <cell r="H13">
            <v>27290</v>
          </cell>
          <cell r="I13">
            <v>27290</v>
          </cell>
          <cell r="J13">
            <v>24015.200000000001</v>
          </cell>
          <cell r="K13" t="str">
            <v>IFB</v>
          </cell>
          <cell r="L13">
            <v>7</v>
          </cell>
          <cell r="M13">
            <v>720</v>
          </cell>
          <cell r="N13">
            <v>35</v>
          </cell>
          <cell r="O13">
            <v>5</v>
          </cell>
          <cell r="P13">
            <v>18</v>
          </cell>
          <cell r="Q13">
            <v>1.2999999999999999E-2</v>
          </cell>
          <cell r="R13" t="str">
            <v>Grey</v>
          </cell>
          <cell r="T13" t="str">
            <v>AI</v>
          </cell>
          <cell r="W13" t="str">
            <v>Aqua Energie</v>
          </cell>
          <cell r="X13" t="str">
            <v>3D Wash System</v>
          </cell>
          <cell r="Z13" t="str">
            <v>Bi-axial Movement</v>
          </cell>
          <cell r="AA13" t="str">
            <v>Smart Sense</v>
          </cell>
          <cell r="AB13" t="str">
            <v>Machine Mobility</v>
          </cell>
          <cell r="AE13" t="str">
            <v>Auto Imbalance Vibration</v>
          </cell>
          <cell r="AF13" t="str">
            <v>High Low Voltage Protection</v>
          </cell>
          <cell r="AG13" t="str">
            <v>Program Memory Backup</v>
          </cell>
          <cell r="AH13" t="str">
            <v>Child Lock</v>
          </cell>
          <cell r="AI13" t="str">
            <v>Machine Level Indicator</v>
          </cell>
          <cell r="AJ13" t="str">
            <v>Lint Tower Filter</v>
          </cell>
          <cell r="AK13" t="str">
            <v>Triadic Pulsator</v>
          </cell>
          <cell r="AP13" t="str">
            <v>C</v>
          </cell>
        </row>
        <row r="14">
          <cell r="B14" t="str">
            <v>TL - RGS 7 kg Aqua</v>
          </cell>
          <cell r="C14">
            <v>8903287021671</v>
          </cell>
          <cell r="D14" t="str">
            <v>TL-RGS 7.0KG AQUA, TLM, 31850</v>
          </cell>
          <cell r="E14" t="str">
            <v>WM</v>
          </cell>
          <cell r="F14" t="str">
            <v>TLM</v>
          </cell>
          <cell r="G14" t="str">
            <v>https://www.ifbappliances.com/tl-rgs-7kg-aqua-720-rpm</v>
          </cell>
          <cell r="H14">
            <v>31850</v>
          </cell>
          <cell r="I14">
            <v>31850</v>
          </cell>
          <cell r="J14">
            <v>28028</v>
          </cell>
          <cell r="K14" t="str">
            <v>IFB</v>
          </cell>
          <cell r="L14">
            <v>7</v>
          </cell>
          <cell r="M14">
            <v>720</v>
          </cell>
          <cell r="N14">
            <v>37</v>
          </cell>
          <cell r="O14">
            <v>5</v>
          </cell>
          <cell r="P14">
            <v>17</v>
          </cell>
          <cell r="Q14">
            <v>1.2999999999999999E-2</v>
          </cell>
          <cell r="R14" t="str">
            <v>Grey</v>
          </cell>
          <cell r="T14" t="str">
            <v>AI</v>
          </cell>
          <cell r="W14" t="str">
            <v>Aqua Energie</v>
          </cell>
          <cell r="X14" t="str">
            <v>3D Wash System</v>
          </cell>
          <cell r="Y14" t="str">
            <v>Auto Tub Clean</v>
          </cell>
          <cell r="Z14" t="str">
            <v>Bi-axial Movement</v>
          </cell>
          <cell r="AA14" t="str">
            <v>Smart Sense</v>
          </cell>
          <cell r="AB14" t="str">
            <v>Machine Mobility</v>
          </cell>
          <cell r="AE14" t="str">
            <v>Auto Imbalance Vibration</v>
          </cell>
          <cell r="AF14" t="str">
            <v>High Low Voltage Protection</v>
          </cell>
          <cell r="AG14" t="str">
            <v>Program Memory Backup</v>
          </cell>
          <cell r="AH14" t="str">
            <v>Child Lock</v>
          </cell>
          <cell r="AJ14" t="str">
            <v>Lint Tower Filter</v>
          </cell>
          <cell r="AK14" t="str">
            <v>Triadic Pulsator</v>
          </cell>
          <cell r="AP14" t="str">
            <v>B</v>
          </cell>
        </row>
        <row r="15">
          <cell r="B15" t="str">
            <v>TL - REG 7 kg Aqua</v>
          </cell>
          <cell r="C15">
            <v>8903287022210</v>
          </cell>
          <cell r="D15" t="str">
            <v>TL-REG 7.0KG AQUA, TLM, 27790</v>
          </cell>
          <cell r="E15" t="str">
            <v>WM</v>
          </cell>
          <cell r="F15" t="str">
            <v>TLM</v>
          </cell>
          <cell r="G15" t="str">
            <v>https://www.ifbappliances.com/tl-reg-7-kg-aqua</v>
          </cell>
          <cell r="H15">
            <v>27790</v>
          </cell>
          <cell r="I15">
            <v>27790</v>
          </cell>
          <cell r="J15">
            <v>24455.200000000001</v>
          </cell>
          <cell r="K15" t="str">
            <v>IFB</v>
          </cell>
          <cell r="L15">
            <v>7</v>
          </cell>
          <cell r="M15">
            <v>720</v>
          </cell>
          <cell r="N15">
            <v>35</v>
          </cell>
          <cell r="O15">
            <v>5</v>
          </cell>
          <cell r="P15">
            <v>18</v>
          </cell>
          <cell r="Q15">
            <v>1.2999999999999999E-2</v>
          </cell>
          <cell r="R15" t="str">
            <v>Grey</v>
          </cell>
          <cell r="T15" t="str">
            <v>AI</v>
          </cell>
          <cell r="W15" t="str">
            <v>Aqua Energie</v>
          </cell>
          <cell r="X15" t="str">
            <v>3D Wash System</v>
          </cell>
          <cell r="Z15" t="str">
            <v>Bi-axial Movement</v>
          </cell>
          <cell r="AA15" t="str">
            <v>Smart Sense</v>
          </cell>
          <cell r="AB15" t="str">
            <v>Machine Mobility</v>
          </cell>
          <cell r="AE15" t="str">
            <v>Auto Imbalance Vibration</v>
          </cell>
          <cell r="AF15" t="str">
            <v>High Low Voltage Protection</v>
          </cell>
          <cell r="AG15" t="str">
            <v>Program Memory Backup</v>
          </cell>
          <cell r="AH15" t="str">
            <v>Child Lock</v>
          </cell>
          <cell r="AJ15" t="str">
            <v>Lint Tower Filter</v>
          </cell>
          <cell r="AK15" t="str">
            <v>Triadic Pulsator</v>
          </cell>
          <cell r="AP15" t="str">
            <v>C</v>
          </cell>
        </row>
        <row r="16">
          <cell r="B16" t="str">
            <v>TL - REG 6.5 kg Aqua</v>
          </cell>
          <cell r="C16">
            <v>8903287021794</v>
          </cell>
          <cell r="D16" t="str">
            <v>TL-REG 6.5KG AQUA, TLM, 25750</v>
          </cell>
          <cell r="E16" t="str">
            <v>WM</v>
          </cell>
          <cell r="F16" t="str">
            <v>TLM</v>
          </cell>
          <cell r="G16" t="str">
            <v>https://www.ifbappliances.com/tl-reg-6-5kg-aqua-720-rpm</v>
          </cell>
          <cell r="H16">
            <v>25750</v>
          </cell>
          <cell r="I16">
            <v>25750</v>
          </cell>
          <cell r="J16">
            <v>22660</v>
          </cell>
          <cell r="K16" t="str">
            <v>IFB</v>
          </cell>
          <cell r="L16">
            <v>6.5</v>
          </cell>
          <cell r="M16">
            <v>720</v>
          </cell>
          <cell r="N16">
            <v>37</v>
          </cell>
          <cell r="O16">
            <v>5</v>
          </cell>
          <cell r="P16">
            <v>18</v>
          </cell>
          <cell r="Q16">
            <v>1.2999999999999999E-2</v>
          </cell>
          <cell r="R16" t="str">
            <v>Grey</v>
          </cell>
          <cell r="T16" t="str">
            <v>AI</v>
          </cell>
          <cell r="W16" t="str">
            <v>Aqua Energie</v>
          </cell>
          <cell r="X16" t="str">
            <v>3D Wash System</v>
          </cell>
          <cell r="Z16" t="str">
            <v>Bi-axial Movement</v>
          </cell>
          <cell r="AA16" t="str">
            <v>Smart Sense</v>
          </cell>
          <cell r="AE16" t="str">
            <v>Auto Imbalance Vibration</v>
          </cell>
          <cell r="AF16" t="str">
            <v>High Low Voltage Protection</v>
          </cell>
          <cell r="AG16" t="str">
            <v>Program Memory Backup</v>
          </cell>
          <cell r="AH16" t="str">
            <v>Child Lock</v>
          </cell>
          <cell r="AJ16" t="str">
            <v>Lint Tower Filter</v>
          </cell>
          <cell r="AK16" t="str">
            <v>Triadic Pulsator</v>
          </cell>
          <cell r="AP16" t="str">
            <v>C</v>
          </cell>
        </row>
        <row r="17">
          <cell r="B17" t="str">
            <v>TL - R2BRS 6.5 Kg Aqua</v>
          </cell>
          <cell r="C17">
            <v>8903287027222</v>
          </cell>
          <cell r="D17" t="str">
            <v>TL-R2BRS 6.5KG AQUA, TLM, 30990</v>
          </cell>
          <cell r="E17" t="str">
            <v>WM</v>
          </cell>
          <cell r="F17" t="str">
            <v>TLM</v>
          </cell>
          <cell r="G17" t="str">
            <v>https://www.ifbappliances.com/tl-r2brs-6-5-kg-aqua</v>
          </cell>
          <cell r="H17">
            <v>30990</v>
          </cell>
          <cell r="I17">
            <v>30990</v>
          </cell>
          <cell r="J17">
            <v>27271.200000000001</v>
          </cell>
          <cell r="K17" t="str">
            <v>IFB</v>
          </cell>
          <cell r="L17">
            <v>6.5</v>
          </cell>
          <cell r="M17">
            <v>720</v>
          </cell>
          <cell r="N17">
            <v>35</v>
          </cell>
          <cell r="O17">
            <v>5</v>
          </cell>
          <cell r="P17">
            <v>18</v>
          </cell>
          <cell r="Q17">
            <v>1.2999999999999999E-2</v>
          </cell>
          <cell r="R17" t="str">
            <v>Brown</v>
          </cell>
          <cell r="U17" t="str">
            <v>Power Steam</v>
          </cell>
          <cell r="V17" t="str">
            <v>Heater</v>
          </cell>
          <cell r="W17" t="str">
            <v>Aqua Energie</v>
          </cell>
          <cell r="X17" t="str">
            <v>3D Wash System</v>
          </cell>
          <cell r="Y17" t="str">
            <v>Auto Tub Clean</v>
          </cell>
          <cell r="Z17" t="str">
            <v>Bi-axial Movement</v>
          </cell>
          <cell r="AA17" t="str">
            <v>Smart Sense</v>
          </cell>
          <cell r="AB17" t="str">
            <v>Machine Mobility</v>
          </cell>
          <cell r="AE17" t="str">
            <v>Auto Imbalance Vibration</v>
          </cell>
          <cell r="AF17" t="str">
            <v>High Low Voltage Protection</v>
          </cell>
          <cell r="AG17" t="str">
            <v>Program Memory Backup</v>
          </cell>
          <cell r="AH17" t="str">
            <v>Child Lock</v>
          </cell>
          <cell r="AJ17" t="str">
            <v>Lint Tower Filter</v>
          </cell>
          <cell r="AK17" t="str">
            <v>Triadic Pulsator</v>
          </cell>
          <cell r="AN17" t="str">
            <v>Delay Start</v>
          </cell>
          <cell r="AO17" t="str">
            <v>Spray Rinse</v>
          </cell>
          <cell r="AP17" t="str">
            <v>B</v>
          </cell>
        </row>
        <row r="18">
          <cell r="B18" t="str">
            <v>TL - S4BLS 10 kg Aqua</v>
          </cell>
          <cell r="C18">
            <v>8903287022524</v>
          </cell>
          <cell r="D18" t="str">
            <v>TL-S4BLS 10.0KG AQUA, TLM, 43490</v>
          </cell>
          <cell r="E18" t="str">
            <v>WM</v>
          </cell>
          <cell r="F18" t="str">
            <v>TLM</v>
          </cell>
          <cell r="G18" t="str">
            <v>https://www.ifbappliances.com/tl-s4bls-10-kg-aqua</v>
          </cell>
          <cell r="H18">
            <v>43490</v>
          </cell>
          <cell r="I18">
            <v>43490</v>
          </cell>
          <cell r="J18">
            <v>38271.199999999997</v>
          </cell>
          <cell r="K18" t="str">
            <v>IFB</v>
          </cell>
          <cell r="L18">
            <v>10</v>
          </cell>
          <cell r="M18">
            <v>720</v>
          </cell>
          <cell r="N18">
            <v>45</v>
          </cell>
          <cell r="O18">
            <v>5</v>
          </cell>
          <cell r="P18">
            <v>20</v>
          </cell>
          <cell r="Q18">
            <v>1.2999999999999999E-2</v>
          </cell>
          <cell r="R18" t="str">
            <v>Black</v>
          </cell>
          <cell r="T18" t="str">
            <v>AI</v>
          </cell>
          <cell r="U18" t="str">
            <v>Power Steam</v>
          </cell>
          <cell r="V18" t="str">
            <v>Heater</v>
          </cell>
          <cell r="W18" t="str">
            <v>Aqua Energie</v>
          </cell>
          <cell r="X18" t="str">
            <v>4D Wash System</v>
          </cell>
          <cell r="Y18" t="str">
            <v>Auto Tub Clean</v>
          </cell>
          <cell r="AA18" t="str">
            <v>Smart Sense</v>
          </cell>
          <cell r="AB18" t="str">
            <v>Machine Mobility</v>
          </cell>
          <cell r="AC18" t="str">
            <v>Soft Close Door</v>
          </cell>
          <cell r="AE18" t="str">
            <v>Auto Imbalance Vibration</v>
          </cell>
          <cell r="AF18" t="str">
            <v>High Low Voltage Protection</v>
          </cell>
          <cell r="AG18" t="str">
            <v>Program Memory Backup</v>
          </cell>
          <cell r="AH18" t="str">
            <v>Child Lock</v>
          </cell>
          <cell r="AI18" t="str">
            <v>Machine Level Indicator</v>
          </cell>
          <cell r="AJ18" t="str">
            <v>Lint Tower Filter</v>
          </cell>
          <cell r="AK18" t="str">
            <v>Triadic Pulsator</v>
          </cell>
          <cell r="AL18" t="str">
            <v>Drum Lamp</v>
          </cell>
          <cell r="AM18" t="str">
            <v>Water Recirculation Pump</v>
          </cell>
          <cell r="AN18" t="str">
            <v>Delay Start</v>
          </cell>
          <cell r="AO18" t="str">
            <v>Spray Rinse</v>
          </cell>
          <cell r="AP18" t="str">
            <v>A++</v>
          </cell>
        </row>
        <row r="19">
          <cell r="B19" t="str">
            <v>TL - R1BRS 7 Kg Aqua</v>
          </cell>
          <cell r="C19">
            <v>8903287027154</v>
          </cell>
          <cell r="D19" t="str">
            <v>TL-R1BRS 7.0KG AQUA, TLM, 29990</v>
          </cell>
          <cell r="E19" t="str">
            <v>WM</v>
          </cell>
          <cell r="F19" t="str">
            <v>TLM</v>
          </cell>
          <cell r="G19" t="str">
            <v>https://www.ifbappliances.com/tl-r1brs-7-kg-aqua</v>
          </cell>
          <cell r="H19">
            <v>29990</v>
          </cell>
          <cell r="I19">
            <v>29990</v>
          </cell>
          <cell r="J19">
            <v>26391.200000000001</v>
          </cell>
          <cell r="K19" t="str">
            <v>IFB</v>
          </cell>
          <cell r="L19">
            <v>7</v>
          </cell>
          <cell r="M19">
            <v>720</v>
          </cell>
          <cell r="N19">
            <v>35</v>
          </cell>
          <cell r="O19">
            <v>5</v>
          </cell>
          <cell r="P19">
            <v>18</v>
          </cell>
          <cell r="Q19">
            <v>1.2999999999999999E-2</v>
          </cell>
          <cell r="R19" t="str">
            <v>Brown</v>
          </cell>
          <cell r="T19" t="str">
            <v>AI</v>
          </cell>
          <cell r="U19" t="str">
            <v>Power Steam</v>
          </cell>
          <cell r="V19" t="str">
            <v>Heater</v>
          </cell>
          <cell r="W19" t="str">
            <v>Aqua Energie</v>
          </cell>
          <cell r="X19" t="str">
            <v>3D Wash System</v>
          </cell>
          <cell r="Z19" t="str">
            <v>Bi-axial Movement</v>
          </cell>
          <cell r="AA19" t="str">
            <v>Smart Sense</v>
          </cell>
          <cell r="AB19" t="str">
            <v>Machine Mobility</v>
          </cell>
          <cell r="AE19" t="str">
            <v>Auto Imbalance Vibration</v>
          </cell>
          <cell r="AF19" t="str">
            <v>High Low Voltage Protection</v>
          </cell>
          <cell r="AG19" t="str">
            <v>Program Memory Backup</v>
          </cell>
          <cell r="AH19" t="str">
            <v>Child Lock</v>
          </cell>
          <cell r="AJ19" t="str">
            <v>Lint Tower Filter</v>
          </cell>
          <cell r="AK19" t="str">
            <v>Triadic Pulsator</v>
          </cell>
          <cell r="AN19" t="str">
            <v>Delay Start</v>
          </cell>
          <cell r="AP19" t="str">
            <v>C</v>
          </cell>
        </row>
        <row r="20">
          <cell r="B20" t="str">
            <v>TL - R2BR 7 kg Aqua</v>
          </cell>
          <cell r="C20">
            <v>8903287027338</v>
          </cell>
          <cell r="D20" t="str">
            <v>TL-R2BR 7.0KG AQUA, TLM, 28550</v>
          </cell>
          <cell r="E20" t="str">
            <v>WM</v>
          </cell>
          <cell r="F20" t="str">
            <v>TLM</v>
          </cell>
          <cell r="G20" t="str">
            <v>https://www.ifbappliances.com/tl-r2br-7-kg-aqua</v>
          </cell>
          <cell r="H20">
            <v>28550</v>
          </cell>
          <cell r="I20">
            <v>28550</v>
          </cell>
          <cell r="J20">
            <v>25124</v>
          </cell>
          <cell r="K20" t="str">
            <v>IFB</v>
          </cell>
          <cell r="L20">
            <v>7</v>
          </cell>
          <cell r="M20">
            <v>720</v>
          </cell>
          <cell r="N20">
            <v>37</v>
          </cell>
          <cell r="O20">
            <v>5</v>
          </cell>
          <cell r="P20">
            <v>18</v>
          </cell>
          <cell r="Q20">
            <v>1.2999999999999999E-2</v>
          </cell>
          <cell r="R20" t="str">
            <v>Brown</v>
          </cell>
          <cell r="T20" t="str">
            <v>AI</v>
          </cell>
          <cell r="W20" t="str">
            <v>Aqua Energie</v>
          </cell>
          <cell r="X20" t="str">
            <v>3D Wash System</v>
          </cell>
          <cell r="Z20" t="str">
            <v>Bi-axial Movement</v>
          </cell>
          <cell r="AA20" t="str">
            <v>Smart Sense</v>
          </cell>
          <cell r="AB20" t="str">
            <v>Machine Mobility</v>
          </cell>
          <cell r="AE20" t="str">
            <v>Auto Imbalance Vibration</v>
          </cell>
          <cell r="AF20" t="str">
            <v>High Low Voltage Protection</v>
          </cell>
          <cell r="AG20" t="str">
            <v>Program Memory Backup</v>
          </cell>
          <cell r="AH20" t="str">
            <v>Child Lock</v>
          </cell>
          <cell r="AJ20" t="str">
            <v>Lint Tower Filter</v>
          </cell>
          <cell r="AK20" t="str">
            <v>Triadic Pulsator</v>
          </cell>
          <cell r="AN20" t="str">
            <v>Delay Start</v>
          </cell>
          <cell r="AO20" t="str">
            <v>Spray Rinse</v>
          </cell>
          <cell r="AP20" t="str">
            <v>C</v>
          </cell>
        </row>
        <row r="21">
          <cell r="B21" t="str">
            <v>TL - S4RBS 9 kg Aqua</v>
          </cell>
          <cell r="C21">
            <v>8903287022449</v>
          </cell>
          <cell r="D21" t="str">
            <v>TL-S4RBS 9.0KG AQUA, TLM, 40990</v>
          </cell>
          <cell r="E21" t="str">
            <v>WM</v>
          </cell>
          <cell r="F21" t="str">
            <v>TLM</v>
          </cell>
          <cell r="G21" t="str">
            <v>https://www.ifbappliances.com/tl-s4rbs-9-kg-aqua</v>
          </cell>
          <cell r="H21">
            <v>40990</v>
          </cell>
          <cell r="I21">
            <v>40990</v>
          </cell>
          <cell r="J21">
            <v>36071.199999999997</v>
          </cell>
          <cell r="K21" t="str">
            <v>IFB</v>
          </cell>
          <cell r="L21">
            <v>9</v>
          </cell>
          <cell r="M21">
            <v>720</v>
          </cell>
          <cell r="N21">
            <v>46</v>
          </cell>
          <cell r="O21">
            <v>5</v>
          </cell>
          <cell r="P21">
            <v>18</v>
          </cell>
          <cell r="Q21">
            <v>1.2999999999999999E-2</v>
          </cell>
          <cell r="R21" t="str">
            <v>Blue</v>
          </cell>
          <cell r="T21" t="str">
            <v>AI</v>
          </cell>
          <cell r="U21" t="str">
            <v>Power Steam</v>
          </cell>
          <cell r="V21" t="str">
            <v>Heater</v>
          </cell>
          <cell r="W21" t="str">
            <v>Aqua Energie</v>
          </cell>
          <cell r="X21" t="str">
            <v>4D Wash System</v>
          </cell>
          <cell r="Y21" t="str">
            <v>Auto Tub Clean</v>
          </cell>
          <cell r="Z21" t="str">
            <v>Bi-axial Movement</v>
          </cell>
          <cell r="AA21" t="str">
            <v>Smart Sense</v>
          </cell>
          <cell r="AB21" t="str">
            <v>Machine Mobility</v>
          </cell>
          <cell r="AC21" t="str">
            <v>Soft Close Door</v>
          </cell>
          <cell r="AE21" t="str">
            <v>Auto Imbalance Vibration</v>
          </cell>
          <cell r="AF21" t="str">
            <v>High Low Voltage Protection</v>
          </cell>
          <cell r="AG21" t="str">
            <v>Program Memory Backup</v>
          </cell>
          <cell r="AH21" t="str">
            <v>Child Lock</v>
          </cell>
          <cell r="AI21" t="str">
            <v>Machine Level Indicator</v>
          </cell>
          <cell r="AJ21" t="str">
            <v>Lint Tower Filter</v>
          </cell>
          <cell r="AK21" t="str">
            <v>Triadic Pulsator</v>
          </cell>
          <cell r="AL21" t="str">
            <v>Drum Lamp</v>
          </cell>
          <cell r="AM21" t="str">
            <v>Water Recirculation Pump</v>
          </cell>
          <cell r="AN21" t="str">
            <v>Delay Start</v>
          </cell>
          <cell r="AO21" t="str">
            <v>Spray Rinse</v>
          </cell>
          <cell r="AP21" t="str">
            <v>A+</v>
          </cell>
        </row>
        <row r="22">
          <cell r="B22" t="str">
            <v>TL - S1WRS 8 Kg Aqua</v>
          </cell>
          <cell r="C22">
            <v>8903287027284</v>
          </cell>
          <cell r="D22" t="str">
            <v>TL-S1WRS 8.0KG AQUA, TLM, 37450</v>
          </cell>
          <cell r="E22" t="str">
            <v>WM</v>
          </cell>
          <cell r="F22" t="str">
            <v>TLM</v>
          </cell>
          <cell r="G22" t="str">
            <v>https://www.ifbappliances.com/tl-s1wrs-8-kg-aqua</v>
          </cell>
          <cell r="H22">
            <v>37450</v>
          </cell>
          <cell r="I22">
            <v>37450</v>
          </cell>
          <cell r="J22">
            <v>32956</v>
          </cell>
          <cell r="K22" t="str">
            <v>IFB</v>
          </cell>
          <cell r="L22">
            <v>8</v>
          </cell>
          <cell r="M22">
            <v>720</v>
          </cell>
          <cell r="N22">
            <v>37</v>
          </cell>
          <cell r="O22">
            <v>5</v>
          </cell>
          <cell r="P22">
            <v>17</v>
          </cell>
          <cell r="Q22">
            <v>1.2999999999999999E-2</v>
          </cell>
          <cell r="R22" t="str">
            <v>Red</v>
          </cell>
          <cell r="T22" t="str">
            <v>AI</v>
          </cell>
          <cell r="U22" t="str">
            <v>Power Steam</v>
          </cell>
          <cell r="V22" t="str">
            <v>Heater</v>
          </cell>
          <cell r="W22" t="str">
            <v>Aqua Energie</v>
          </cell>
          <cell r="X22" t="str">
            <v>3D Wash System</v>
          </cell>
          <cell r="Y22" t="str">
            <v>Auto Tub Clean</v>
          </cell>
          <cell r="Z22" t="str">
            <v>Bi-axial Movement</v>
          </cell>
          <cell r="AA22" t="str">
            <v>Smart Sense</v>
          </cell>
          <cell r="AB22" t="str">
            <v>Machine Mobility</v>
          </cell>
          <cell r="AC22" t="str">
            <v>Soft Close Door</v>
          </cell>
          <cell r="AE22" t="str">
            <v>Auto Imbalance Vibration</v>
          </cell>
          <cell r="AF22" t="str">
            <v>High Low Voltage Protection</v>
          </cell>
          <cell r="AG22" t="str">
            <v>Program Memory Backup</v>
          </cell>
          <cell r="AH22" t="str">
            <v>Child Lock</v>
          </cell>
          <cell r="AJ22" t="str">
            <v>Lint Tower Filter</v>
          </cell>
          <cell r="AK22" t="str">
            <v>Triadic Pulsator</v>
          </cell>
          <cell r="AN22" t="str">
            <v>Delay Start</v>
          </cell>
          <cell r="AO22" t="str">
            <v>Spray Rinse</v>
          </cell>
          <cell r="AP22" t="str">
            <v>A</v>
          </cell>
        </row>
        <row r="23">
          <cell r="B23" t="str">
            <v>TL - RSS 6.5 kg Aqua</v>
          </cell>
          <cell r="C23">
            <v>8903287021763</v>
          </cell>
          <cell r="D23" t="str">
            <v>TL-RSS 6.5KG AQUA, TLM, 26550</v>
          </cell>
          <cell r="E23" t="str">
            <v>WM</v>
          </cell>
          <cell r="F23" t="str">
            <v>TLM</v>
          </cell>
          <cell r="G23" t="str">
            <v>https://www.ifbappliances.com/tl-rss-6-5kg-aqua-720-rpm</v>
          </cell>
          <cell r="H23">
            <v>26550</v>
          </cell>
          <cell r="I23">
            <v>26550</v>
          </cell>
          <cell r="J23">
            <v>23364</v>
          </cell>
          <cell r="K23" t="str">
            <v>IFB</v>
          </cell>
          <cell r="L23">
            <v>6.5</v>
          </cell>
          <cell r="M23">
            <v>720</v>
          </cell>
          <cell r="N23">
            <v>35</v>
          </cell>
          <cell r="O23">
            <v>5</v>
          </cell>
          <cell r="P23">
            <v>17</v>
          </cell>
          <cell r="Q23">
            <v>1.2999999999999999E-2</v>
          </cell>
          <cell r="R23" t="str">
            <v>Grey</v>
          </cell>
          <cell r="T23" t="str">
            <v>AI</v>
          </cell>
          <cell r="W23" t="str">
            <v>Aqua Energie</v>
          </cell>
          <cell r="X23" t="str">
            <v>3D Wash System</v>
          </cell>
          <cell r="Y23" t="str">
            <v>Auto Tub Clean</v>
          </cell>
          <cell r="Z23" t="str">
            <v>Bi-axial Movement</v>
          </cell>
          <cell r="AA23" t="str">
            <v>Smart Sense</v>
          </cell>
          <cell r="AB23" t="str">
            <v>Machine Mobility</v>
          </cell>
          <cell r="AE23" t="str">
            <v>Auto Imbalance Vibration</v>
          </cell>
          <cell r="AF23" t="str">
            <v>High Low Voltage Protection</v>
          </cell>
          <cell r="AG23" t="str">
            <v>Program Memory Backup</v>
          </cell>
          <cell r="AH23" t="str">
            <v>Child Lock</v>
          </cell>
          <cell r="AJ23" t="str">
            <v>Lint Tower Filter</v>
          </cell>
          <cell r="AK23" t="str">
            <v>Triadic Pulsator</v>
          </cell>
          <cell r="AP23" t="str">
            <v>C</v>
          </cell>
        </row>
        <row r="24">
          <cell r="B24" t="str">
            <v>TL - R1WRS 7 kg Aqua</v>
          </cell>
          <cell r="C24">
            <v>8903287022647</v>
          </cell>
          <cell r="D24" t="str">
            <v>TL-R1WRS 7.0KG AQUA, TLM, 30990</v>
          </cell>
          <cell r="E24" t="str">
            <v>WM</v>
          </cell>
          <cell r="F24" t="str">
            <v>TLM</v>
          </cell>
          <cell r="G24" t="str">
            <v>https://www.ifbappliances.com/tl-r1wrs-7-kg-aqua</v>
          </cell>
          <cell r="H24">
            <v>30990</v>
          </cell>
          <cell r="I24">
            <v>30990</v>
          </cell>
          <cell r="J24">
            <v>27271.200000000001</v>
          </cell>
          <cell r="K24" t="str">
            <v>IFB</v>
          </cell>
          <cell r="L24">
            <v>7</v>
          </cell>
          <cell r="M24">
            <v>720</v>
          </cell>
          <cell r="N24">
            <v>35</v>
          </cell>
          <cell r="O24">
            <v>5</v>
          </cell>
          <cell r="P24">
            <v>18</v>
          </cell>
          <cell r="Q24">
            <v>1.2999999999999999E-2</v>
          </cell>
          <cell r="R24" t="str">
            <v>Red</v>
          </cell>
          <cell r="T24" t="str">
            <v>AI</v>
          </cell>
          <cell r="U24" t="str">
            <v>Power Steam</v>
          </cell>
          <cell r="V24" t="str">
            <v>Heater</v>
          </cell>
          <cell r="W24" t="str">
            <v>Aqua Energie</v>
          </cell>
          <cell r="X24" t="str">
            <v>3D Wash System</v>
          </cell>
          <cell r="Y24" t="str">
            <v>Auto Tub Clean</v>
          </cell>
          <cell r="Z24" t="str">
            <v>Bi-axial Movement</v>
          </cell>
          <cell r="AA24" t="str">
            <v>Smart Sense</v>
          </cell>
          <cell r="AB24" t="str">
            <v>Machine Mobility</v>
          </cell>
          <cell r="AE24" t="str">
            <v>Auto Imbalance Vibration</v>
          </cell>
          <cell r="AF24" t="str">
            <v>High Low Voltage Protection</v>
          </cell>
          <cell r="AG24" t="str">
            <v>Program Memory Backup</v>
          </cell>
          <cell r="AH24" t="str">
            <v>Child Lock</v>
          </cell>
          <cell r="AJ24" t="str">
            <v>Lint Tower Filter</v>
          </cell>
          <cell r="AK24" t="str">
            <v>Triadic Pulsator</v>
          </cell>
          <cell r="AN24" t="str">
            <v>Delay Start</v>
          </cell>
          <cell r="AP24" t="str">
            <v>B</v>
          </cell>
        </row>
        <row r="25">
          <cell r="B25" t="str">
            <v>TL - S4STS 9 kg Aqua</v>
          </cell>
          <cell r="C25">
            <v>8903287022487</v>
          </cell>
          <cell r="D25" t="str">
            <v>TL-S4STS 9.0KG AQUA, TLM, 42490</v>
          </cell>
          <cell r="E25" t="str">
            <v>WM</v>
          </cell>
          <cell r="F25" t="str">
            <v>TLM</v>
          </cell>
          <cell r="G25" t="str">
            <v>https://www.ifbappliances.com/tl-s4sts-9-kg-aqua</v>
          </cell>
          <cell r="H25">
            <v>42490</v>
          </cell>
          <cell r="I25">
            <v>42490</v>
          </cell>
          <cell r="J25">
            <v>37391.199999999997</v>
          </cell>
          <cell r="K25" t="str">
            <v>IFB</v>
          </cell>
          <cell r="L25">
            <v>9</v>
          </cell>
          <cell r="M25">
            <v>720</v>
          </cell>
          <cell r="N25">
            <v>45</v>
          </cell>
          <cell r="O25">
            <v>5</v>
          </cell>
          <cell r="P25">
            <v>18</v>
          </cell>
          <cell r="Q25">
            <v>1.2999999999999999E-2</v>
          </cell>
          <cell r="R25" t="str">
            <v>SUS</v>
          </cell>
          <cell r="T25" t="str">
            <v>AI</v>
          </cell>
          <cell r="U25" t="str">
            <v>Power Steam</v>
          </cell>
          <cell r="V25" t="str">
            <v>Heater</v>
          </cell>
          <cell r="W25" t="str">
            <v>Aqua Energie</v>
          </cell>
          <cell r="X25" t="str">
            <v>4D Wash System</v>
          </cell>
          <cell r="Y25" t="str">
            <v>Auto Tub Clean</v>
          </cell>
          <cell r="AA25" t="str">
            <v>Smart Sense</v>
          </cell>
          <cell r="AB25" t="str">
            <v>Machine Mobility</v>
          </cell>
          <cell r="AC25" t="str">
            <v>Soft Close Door</v>
          </cell>
          <cell r="AE25" t="str">
            <v>Auto Imbalance Vibration</v>
          </cell>
          <cell r="AF25" t="str">
            <v>High Low Voltage Protection</v>
          </cell>
          <cell r="AG25" t="str">
            <v>Program Memory Backup</v>
          </cell>
          <cell r="AH25" t="str">
            <v>Child Lock</v>
          </cell>
          <cell r="AI25" t="str">
            <v>Machine Level Indicator</v>
          </cell>
          <cell r="AJ25" t="str">
            <v>Lint Tower Filter</v>
          </cell>
          <cell r="AK25" t="str">
            <v>Triadic Pulsator</v>
          </cell>
          <cell r="AL25" t="str">
            <v>Drum Lamp</v>
          </cell>
          <cell r="AM25" t="str">
            <v>Water Recirculation Pump</v>
          </cell>
          <cell r="AN25" t="str">
            <v>Delay Start</v>
          </cell>
          <cell r="AO25" t="str">
            <v>Spray Rinse</v>
          </cell>
          <cell r="AP25" t="str">
            <v>A++</v>
          </cell>
        </row>
        <row r="26">
          <cell r="B26" t="str">
            <v>TL - REWS 6.5 kg Aqua</v>
          </cell>
          <cell r="C26">
            <v>8903287022319</v>
          </cell>
          <cell r="D26" t="str">
            <v>TL-REWS 6.5KG AQUA, TLM, 27250</v>
          </cell>
          <cell r="E26" t="str">
            <v>WM</v>
          </cell>
          <cell r="F26" t="str">
            <v>TLM</v>
          </cell>
          <cell r="G26" t="str">
            <v>https://www.ifbappliances.com/tl-rews</v>
          </cell>
          <cell r="H26">
            <v>27250</v>
          </cell>
          <cell r="I26">
            <v>27250</v>
          </cell>
          <cell r="J26">
            <v>23980</v>
          </cell>
          <cell r="K26" t="str">
            <v>IFB</v>
          </cell>
          <cell r="L26">
            <v>6.5</v>
          </cell>
          <cell r="M26">
            <v>720</v>
          </cell>
          <cell r="N26">
            <v>35</v>
          </cell>
          <cell r="O26">
            <v>5</v>
          </cell>
          <cell r="P26">
            <v>18</v>
          </cell>
          <cell r="Q26">
            <v>1.2999999999999999E-2</v>
          </cell>
          <cell r="R26" t="str">
            <v>White</v>
          </cell>
          <cell r="T26" t="str">
            <v>AI</v>
          </cell>
          <cell r="U26" t="str">
            <v>Power Steam</v>
          </cell>
          <cell r="V26" t="str">
            <v>Heater</v>
          </cell>
          <cell r="W26" t="str">
            <v>Aqua Energie</v>
          </cell>
          <cell r="X26" t="str">
            <v>3D Wash System</v>
          </cell>
          <cell r="Z26" t="str">
            <v>Bi-axial Movement</v>
          </cell>
          <cell r="AA26" t="str">
            <v>Smart Sense</v>
          </cell>
          <cell r="AB26" t="str">
            <v>Machine Mobility</v>
          </cell>
          <cell r="AE26" t="str">
            <v>Auto Imbalance Vibration</v>
          </cell>
          <cell r="AF26" t="str">
            <v>High Low Voltage Protection</v>
          </cell>
          <cell r="AG26" t="str">
            <v>Program Memory Backup</v>
          </cell>
          <cell r="AH26" t="str">
            <v>Child Lock</v>
          </cell>
          <cell r="AI26" t="str">
            <v>Machine Level Indicator</v>
          </cell>
          <cell r="AJ26" t="str">
            <v>Lint Tower Filter</v>
          </cell>
          <cell r="AK26" t="str">
            <v>Triadic Pulsator</v>
          </cell>
          <cell r="AP26" t="str">
            <v>C</v>
          </cell>
        </row>
        <row r="27">
          <cell r="B27" t="str">
            <v>TL - REW 6.5 kg Aqua</v>
          </cell>
          <cell r="C27">
            <v>8903287021336</v>
          </cell>
          <cell r="D27" t="str">
            <v>TL-REW 6.5KG AQUA, TLM, 24690</v>
          </cell>
          <cell r="E27" t="str">
            <v>WM</v>
          </cell>
          <cell r="F27" t="str">
            <v>TLM</v>
          </cell>
          <cell r="G27" t="str">
            <v>https://www.ifbappliances.com/tl-rew</v>
          </cell>
          <cell r="H27">
            <v>24690</v>
          </cell>
          <cell r="I27">
            <v>24690</v>
          </cell>
          <cell r="J27">
            <v>21727.200000000001</v>
          </cell>
          <cell r="K27" t="str">
            <v>IFB</v>
          </cell>
          <cell r="L27">
            <v>6.5</v>
          </cell>
          <cell r="M27">
            <v>720</v>
          </cell>
          <cell r="N27">
            <v>35</v>
          </cell>
          <cell r="O27">
            <v>5</v>
          </cell>
          <cell r="P27">
            <v>18</v>
          </cell>
          <cell r="Q27">
            <v>1.2999999999999999E-2</v>
          </cell>
          <cell r="R27" t="str">
            <v>White</v>
          </cell>
          <cell r="T27" t="str">
            <v>AI</v>
          </cell>
          <cell r="W27" t="str">
            <v>Aqua Energie</v>
          </cell>
          <cell r="X27" t="str">
            <v>3D Wash System</v>
          </cell>
          <cell r="Z27" t="str">
            <v>Bi-axial Movement</v>
          </cell>
          <cell r="AA27" t="str">
            <v>Smart Sense</v>
          </cell>
          <cell r="AB27" t="str">
            <v>Machine Mobility</v>
          </cell>
          <cell r="AE27" t="str">
            <v>Auto Imbalance Vibration</v>
          </cell>
          <cell r="AF27" t="str">
            <v>High Low Voltage Protection</v>
          </cell>
          <cell r="AG27" t="str">
            <v>Program Memory Backup</v>
          </cell>
          <cell r="AH27" t="str">
            <v>Child Lock</v>
          </cell>
          <cell r="AI27" t="str">
            <v>Machine Level Indicator</v>
          </cell>
          <cell r="AJ27" t="str">
            <v>Lint Tower Filter</v>
          </cell>
          <cell r="AK27" t="str">
            <v>Triadic Pulsator</v>
          </cell>
          <cell r="AP27" t="str">
            <v>C</v>
          </cell>
        </row>
        <row r="28">
          <cell r="B28" t="str">
            <v>TL - SBRH 8 kg Aqua</v>
          </cell>
          <cell r="C28">
            <v>8903287021565</v>
          </cell>
          <cell r="D28" t="str">
            <v>TL-SBRH 8.0KG AQUA, TLM, 32490</v>
          </cell>
          <cell r="E28" t="str">
            <v>WM</v>
          </cell>
          <cell r="F28" t="str">
            <v>TLM</v>
          </cell>
          <cell r="G28" t="str">
            <v>https://www.ifbappliances.com/tl-sbrh-8-0-kg-aqua-l-720-rpm</v>
          </cell>
          <cell r="H28">
            <v>32490</v>
          </cell>
          <cell r="I28">
            <v>32490</v>
          </cell>
          <cell r="J28">
            <v>31190.400000000001</v>
          </cell>
          <cell r="K28" t="str">
            <v>IFB</v>
          </cell>
          <cell r="L28">
            <v>8</v>
          </cell>
          <cell r="M28">
            <v>720</v>
          </cell>
          <cell r="N28">
            <v>38</v>
          </cell>
          <cell r="O28">
            <v>5</v>
          </cell>
          <cell r="P28">
            <v>16</v>
          </cell>
          <cell r="Q28">
            <v>1.2999999999999999E-2</v>
          </cell>
          <cell r="R28" t="str">
            <v>Brown</v>
          </cell>
          <cell r="U28" t="str">
            <v>Power Steam</v>
          </cell>
          <cell r="V28" t="str">
            <v>Heater</v>
          </cell>
          <cell r="W28" t="str">
            <v>Aqua Energie</v>
          </cell>
          <cell r="X28" t="str">
            <v>3D Wash System</v>
          </cell>
          <cell r="Z28" t="str">
            <v>Bi-axial Movement</v>
          </cell>
          <cell r="AA28" t="str">
            <v>Smart Sense</v>
          </cell>
          <cell r="AB28" t="str">
            <v>Machine Mobility</v>
          </cell>
          <cell r="AC28" t="str">
            <v>Soft Close Door</v>
          </cell>
          <cell r="AD28" t="str">
            <v>Auto Spa Therapy</v>
          </cell>
          <cell r="AE28" t="str">
            <v>Auto Imbalance Vibration</v>
          </cell>
          <cell r="AF28" t="str">
            <v>High Low Voltage Protection</v>
          </cell>
          <cell r="AG28" t="str">
            <v>Program Memory Backup</v>
          </cell>
          <cell r="AH28" t="str">
            <v>Child Lock</v>
          </cell>
          <cell r="AI28" t="str">
            <v>Machine Level Indicator</v>
          </cell>
          <cell r="AJ28" t="str">
            <v>Lint Tower Filter</v>
          </cell>
          <cell r="AK28" t="str">
            <v>Triadic Pulsator</v>
          </cell>
          <cell r="AP28" t="str">
            <v>B</v>
          </cell>
        </row>
        <row r="29">
          <cell r="B29" t="str">
            <v>TL - REGS 6.5 kg Aqua</v>
          </cell>
          <cell r="C29">
            <v>8903287021787</v>
          </cell>
          <cell r="D29" t="str">
            <v>TL-REGS 6.5KG AQUA, TLM, 24050</v>
          </cell>
          <cell r="E29" t="str">
            <v>WM</v>
          </cell>
          <cell r="F29" t="str">
            <v>TLM</v>
          </cell>
          <cell r="G29" t="str">
            <v>https://www.ifbappliances.com/tl-regs</v>
          </cell>
          <cell r="H29">
            <v>24050</v>
          </cell>
          <cell r="I29">
            <v>24050</v>
          </cell>
          <cell r="J29">
            <v>23088</v>
          </cell>
          <cell r="K29" t="str">
            <v>IFB</v>
          </cell>
          <cell r="L29">
            <v>6.5</v>
          </cell>
          <cell r="M29">
            <v>720</v>
          </cell>
          <cell r="N29">
            <v>35</v>
          </cell>
          <cell r="O29">
            <v>5</v>
          </cell>
          <cell r="P29">
            <v>18</v>
          </cell>
          <cell r="Q29">
            <v>1.2999999999999999E-2</v>
          </cell>
          <cell r="R29" t="str">
            <v>Grey</v>
          </cell>
          <cell r="U29" t="str">
            <v>Power Steam</v>
          </cell>
          <cell r="V29" t="str">
            <v>Heater</v>
          </cell>
          <cell r="W29" t="str">
            <v>Aqua Energie</v>
          </cell>
          <cell r="X29" t="str">
            <v>3D Wash System</v>
          </cell>
          <cell r="Z29" t="str">
            <v>Bi-axial Movement</v>
          </cell>
          <cell r="AA29" t="str">
            <v>Smart Sense</v>
          </cell>
          <cell r="AB29" t="str">
            <v>Machine Mobility</v>
          </cell>
          <cell r="AE29" t="str">
            <v>Auto Imbalance Vibration</v>
          </cell>
          <cell r="AF29" t="str">
            <v>High Low Voltage Protection</v>
          </cell>
          <cell r="AG29" t="str">
            <v>Program Memory Backup</v>
          </cell>
          <cell r="AH29" t="str">
            <v>Child Lock</v>
          </cell>
          <cell r="AJ29" t="str">
            <v>Lint Tower Filter</v>
          </cell>
          <cell r="AK29" t="str">
            <v>Triadic Pulsator</v>
          </cell>
          <cell r="AP29" t="str">
            <v>C</v>
          </cell>
        </row>
        <row r="30">
          <cell r="B30" t="str">
            <v>TL - RBR 6.5 kg Aqua</v>
          </cell>
          <cell r="C30">
            <v>8903287021947</v>
          </cell>
          <cell r="D30" t="str">
            <v>TL-RBR 6.5 KG AQUA, TLM, 25890</v>
          </cell>
          <cell r="E30" t="str">
            <v>WM</v>
          </cell>
          <cell r="F30" t="str">
            <v>TLM</v>
          </cell>
          <cell r="G30" t="str">
            <v>https://www.ifbappliances.com/tl-rbr</v>
          </cell>
          <cell r="H30">
            <v>25890</v>
          </cell>
          <cell r="I30">
            <v>25890</v>
          </cell>
          <cell r="J30">
            <v>24854.400000000001</v>
          </cell>
          <cell r="K30" t="str">
            <v>IFB</v>
          </cell>
          <cell r="L30">
            <v>6.5</v>
          </cell>
          <cell r="M30">
            <v>720</v>
          </cell>
          <cell r="N30">
            <v>37</v>
          </cell>
          <cell r="O30">
            <v>5</v>
          </cell>
          <cell r="P30">
            <v>8.9</v>
          </cell>
          <cell r="Q30">
            <v>8.8999999999999996E-2</v>
          </cell>
          <cell r="R30" t="str">
            <v>Brown</v>
          </cell>
          <cell r="W30" t="str">
            <v>Aqua Energie</v>
          </cell>
          <cell r="X30" t="str">
            <v>3D Wash System</v>
          </cell>
          <cell r="Y30" t="str">
            <v>Auto Tub Clean</v>
          </cell>
          <cell r="Z30" t="str">
            <v>Bi-axial Movement</v>
          </cell>
          <cell r="AA30" t="str">
            <v>Smart Sense</v>
          </cell>
          <cell r="AE30" t="str">
            <v>Auto Imbalance Vibration</v>
          </cell>
          <cell r="AF30" t="str">
            <v>High Low Voltage Protection</v>
          </cell>
          <cell r="AG30" t="str">
            <v>Program Memory Backup</v>
          </cell>
          <cell r="AH30" t="str">
            <v>Child Lock</v>
          </cell>
          <cell r="AK30" t="str">
            <v>Triadic Pulsator</v>
          </cell>
          <cell r="AP30" t="str">
            <v>C</v>
          </cell>
        </row>
        <row r="31">
          <cell r="B31" t="str">
            <v>TL - S4RBS 10 kg Aqua</v>
          </cell>
          <cell r="C31">
            <v>8903287022494</v>
          </cell>
          <cell r="D31" t="str">
            <v>TL-S4RBS 10.0KG AQUA, TLM, 41490</v>
          </cell>
          <cell r="E31" t="str">
            <v>WM</v>
          </cell>
          <cell r="F31" t="str">
            <v>TLM</v>
          </cell>
          <cell r="G31" t="str">
            <v>https://www.ifbappliances.com/tl-s4rbs-10-kg-aqua</v>
          </cell>
          <cell r="H31">
            <v>41490</v>
          </cell>
          <cell r="I31">
            <v>41490</v>
          </cell>
          <cell r="J31">
            <v>36511.199999999997</v>
          </cell>
          <cell r="K31" t="str">
            <v>IFB</v>
          </cell>
          <cell r="L31">
            <v>10</v>
          </cell>
          <cell r="M31">
            <v>720</v>
          </cell>
          <cell r="N31">
            <v>45</v>
          </cell>
          <cell r="O31">
            <v>5</v>
          </cell>
          <cell r="P31">
            <v>20</v>
          </cell>
          <cell r="Q31">
            <v>1.2999999999999999E-2</v>
          </cell>
          <cell r="R31" t="str">
            <v>Blue</v>
          </cell>
          <cell r="T31" t="str">
            <v>AI</v>
          </cell>
          <cell r="U31" t="str">
            <v>Power Steam</v>
          </cell>
          <cell r="V31" t="str">
            <v>Heater</v>
          </cell>
          <cell r="W31" t="str">
            <v>Aqua Energie</v>
          </cell>
          <cell r="X31" t="str">
            <v>4D Wash System</v>
          </cell>
          <cell r="Y31" t="str">
            <v>Auto Tub Clean</v>
          </cell>
          <cell r="AA31" t="str">
            <v>Smart Sense</v>
          </cell>
          <cell r="AB31" t="str">
            <v>Machine Mobility</v>
          </cell>
          <cell r="AC31" t="str">
            <v>Soft Close Door</v>
          </cell>
          <cell r="AE31" t="str">
            <v>Auto Imbalance Vibration</v>
          </cell>
          <cell r="AF31" t="str">
            <v>High Low Voltage Protection</v>
          </cell>
          <cell r="AG31" t="str">
            <v>Program Memory Backup</v>
          </cell>
          <cell r="AH31" t="str">
            <v>Child Lock</v>
          </cell>
          <cell r="AI31" t="str">
            <v>Machine Level Indicator</v>
          </cell>
          <cell r="AJ31" t="str">
            <v>Lint Tower Filter</v>
          </cell>
          <cell r="AK31" t="str">
            <v>Triadic Pulsator</v>
          </cell>
          <cell r="AL31" t="str">
            <v>Drum Lamp</v>
          </cell>
          <cell r="AM31" t="str">
            <v>Water Recirculation Pump</v>
          </cell>
          <cell r="AN31" t="str">
            <v>Delay Start</v>
          </cell>
          <cell r="AO31" t="str">
            <v>Spray Rinse</v>
          </cell>
          <cell r="AP31" t="str">
            <v>A+</v>
          </cell>
        </row>
        <row r="32">
          <cell r="B32" t="str">
            <v>TL - R1WH 7 Kg Aqua</v>
          </cell>
          <cell r="C32">
            <v>8903287027079</v>
          </cell>
          <cell r="D32" t="str">
            <v>TL-R1WH 7.0KG AQUA, TLM, 26690</v>
          </cell>
          <cell r="E32" t="str">
            <v>WM</v>
          </cell>
          <cell r="F32" t="str">
            <v>TLM</v>
          </cell>
          <cell r="G32" t="str">
            <v>https://www.ifbappliances.com/tl-r1wh-7-0-kg-aqua</v>
          </cell>
          <cell r="H32">
            <v>26690</v>
          </cell>
          <cell r="I32">
            <v>26690</v>
          </cell>
          <cell r="J32">
            <v>23487.200000000001</v>
          </cell>
          <cell r="K32" t="str">
            <v>IFB</v>
          </cell>
          <cell r="L32">
            <v>7</v>
          </cell>
          <cell r="M32">
            <v>720</v>
          </cell>
          <cell r="N32">
            <v>35</v>
          </cell>
          <cell r="O32">
            <v>5</v>
          </cell>
          <cell r="P32">
            <v>8.9</v>
          </cell>
          <cell r="Q32">
            <v>8.8999999999999996E-2</v>
          </cell>
          <cell r="R32" t="str">
            <v>White</v>
          </cell>
          <cell r="T32" t="str">
            <v>AI</v>
          </cell>
          <cell r="W32" t="str">
            <v>Aqua Energie</v>
          </cell>
          <cell r="X32" t="str">
            <v>3D Wash System</v>
          </cell>
          <cell r="Z32" t="str">
            <v>Bi-axial Movement</v>
          </cell>
          <cell r="AA32" t="str">
            <v>Smart Sense</v>
          </cell>
          <cell r="AB32" t="str">
            <v>Machine Mobility</v>
          </cell>
          <cell r="AE32" t="str">
            <v>Auto Imbalance Vibration</v>
          </cell>
          <cell r="AF32" t="str">
            <v>High Low Voltage Protection</v>
          </cell>
          <cell r="AG32" t="str">
            <v>Program Memory Backup</v>
          </cell>
          <cell r="AH32" t="str">
            <v>Child Lock</v>
          </cell>
          <cell r="AJ32" t="str">
            <v>Lint Tower Filter</v>
          </cell>
          <cell r="AK32" t="str">
            <v>Triadic Pulsator</v>
          </cell>
          <cell r="AP32" t="str">
            <v>C</v>
          </cell>
        </row>
        <row r="33">
          <cell r="B33" t="str">
            <v>TL - SDS 7 kg Aqua</v>
          </cell>
          <cell r="C33">
            <v>8903287021817</v>
          </cell>
          <cell r="D33" t="str">
            <v>TL-SDS 7.0KG AQUA, TLM, 32950</v>
          </cell>
          <cell r="E33" t="str">
            <v>WM</v>
          </cell>
          <cell r="F33" t="str">
            <v>TLM</v>
          </cell>
          <cell r="G33" t="str">
            <v>https://www.ifbappliances.com/tl-sds-7kg-aqua-720-rpm</v>
          </cell>
          <cell r="H33">
            <v>27950</v>
          </cell>
          <cell r="I33">
            <v>32950</v>
          </cell>
          <cell r="J33">
            <v>26832</v>
          </cell>
          <cell r="K33" t="str">
            <v>IFB</v>
          </cell>
          <cell r="L33">
            <v>7</v>
          </cell>
          <cell r="M33">
            <v>720</v>
          </cell>
          <cell r="N33">
            <v>37</v>
          </cell>
          <cell r="O33">
            <v>5</v>
          </cell>
          <cell r="P33">
            <v>17</v>
          </cell>
          <cell r="Q33">
            <v>1.2999999999999999E-2</v>
          </cell>
          <cell r="R33" t="str">
            <v>Grey</v>
          </cell>
          <cell r="W33" t="str">
            <v>Aqua Energie</v>
          </cell>
          <cell r="X33" t="str">
            <v>3D Wash System</v>
          </cell>
          <cell r="Y33" t="str">
            <v>Auto Tub Clean</v>
          </cell>
          <cell r="Z33" t="str">
            <v>Bi-axial Movement</v>
          </cell>
          <cell r="AA33" t="str">
            <v>Smart Sense</v>
          </cell>
          <cell r="AB33" t="str">
            <v>Machine Mobility</v>
          </cell>
          <cell r="AC33" t="str">
            <v>Soft Close Door</v>
          </cell>
          <cell r="AE33" t="str">
            <v>Auto Imbalance Vibration</v>
          </cell>
          <cell r="AF33" t="str">
            <v>High Low Voltage Protection</v>
          </cell>
          <cell r="AG33" t="str">
            <v>Program Memory Backup</v>
          </cell>
          <cell r="AH33" t="str">
            <v>Child Lock</v>
          </cell>
          <cell r="AI33" t="str">
            <v>Machine Level Indicator</v>
          </cell>
          <cell r="AJ33" t="str">
            <v>Lint Tower Filter</v>
          </cell>
          <cell r="AK33" t="str">
            <v>Triadic Pulsator</v>
          </cell>
          <cell r="AP33" t="str">
            <v>C</v>
          </cell>
        </row>
        <row r="34">
          <cell r="B34" t="str">
            <v>TL - SIBS 11 kg Aqua</v>
          </cell>
          <cell r="C34">
            <v>8903287022432</v>
          </cell>
          <cell r="D34" t="str">
            <v>TL-SIBS 11.0KG AQUA, TLM, 44990</v>
          </cell>
          <cell r="E34" t="str">
            <v>WM</v>
          </cell>
          <cell r="F34" t="str">
            <v>TLM</v>
          </cell>
          <cell r="G34" t="str">
            <v>https://www.ifbappliances.com/tl-sibs-11kg</v>
          </cell>
          <cell r="H34">
            <v>44990</v>
          </cell>
          <cell r="I34">
            <v>44990</v>
          </cell>
          <cell r="J34">
            <v>39591.199999999997</v>
          </cell>
          <cell r="K34" t="str">
            <v>IFB</v>
          </cell>
          <cell r="L34">
            <v>11</v>
          </cell>
          <cell r="M34">
            <v>720</v>
          </cell>
          <cell r="N34">
            <v>46</v>
          </cell>
          <cell r="O34">
            <v>5</v>
          </cell>
          <cell r="P34">
            <v>15</v>
          </cell>
          <cell r="Q34">
            <v>1.2999999999999999E-2</v>
          </cell>
          <cell r="R34" t="str">
            <v>Inox</v>
          </cell>
          <cell r="T34" t="str">
            <v>AI</v>
          </cell>
          <cell r="U34" t="str">
            <v>Power Steam</v>
          </cell>
          <cell r="V34" t="str">
            <v>Heater</v>
          </cell>
          <cell r="W34" t="str">
            <v>Aqua Energie</v>
          </cell>
          <cell r="X34" t="str">
            <v>4D Wash System</v>
          </cell>
          <cell r="Y34" t="str">
            <v>Auto Tub Clean</v>
          </cell>
          <cell r="Z34" t="str">
            <v>Bi-axial Movement</v>
          </cell>
          <cell r="AA34" t="str">
            <v>Smart Sense</v>
          </cell>
          <cell r="AB34" t="str">
            <v>Machine Mobility</v>
          </cell>
          <cell r="AC34" t="str">
            <v>Soft Close Door</v>
          </cell>
          <cell r="AE34" t="str">
            <v>Auto Imbalance Vibration</v>
          </cell>
          <cell r="AF34" t="str">
            <v>High Low Voltage Protection</v>
          </cell>
          <cell r="AG34" t="str">
            <v>Program Memory Backup</v>
          </cell>
          <cell r="AH34" t="str">
            <v>Child Lock</v>
          </cell>
          <cell r="AJ34" t="str">
            <v>Lint Tower Filter</v>
          </cell>
          <cell r="AK34" t="str">
            <v>Triadic Pulsator</v>
          </cell>
          <cell r="AL34" t="str">
            <v>Drum Lamp</v>
          </cell>
          <cell r="AM34" t="str">
            <v>Water Recirculation Pump</v>
          </cell>
          <cell r="AP34" t="str">
            <v>A++</v>
          </cell>
        </row>
        <row r="35">
          <cell r="B35" t="str">
            <v>TL - SDG 6.5 kg Aqua</v>
          </cell>
          <cell r="C35">
            <v>8903287021886</v>
          </cell>
          <cell r="D35" t="str">
            <v>TL-SDG 6.5KG AQUA, TLM, 26650</v>
          </cell>
          <cell r="E35" t="str">
            <v>WM</v>
          </cell>
          <cell r="F35" t="str">
            <v>TLM</v>
          </cell>
          <cell r="G35" t="str">
            <v>https://www.ifbappliances.com/tl-sdg-6-5kg-aqua-720-rpm</v>
          </cell>
          <cell r="H35">
            <v>26650</v>
          </cell>
          <cell r="I35">
            <v>26650</v>
          </cell>
          <cell r="J35">
            <v>25584</v>
          </cell>
          <cell r="K35" t="str">
            <v>IFB</v>
          </cell>
          <cell r="L35">
            <v>6.5</v>
          </cell>
          <cell r="M35">
            <v>720</v>
          </cell>
          <cell r="N35">
            <v>37</v>
          </cell>
          <cell r="O35">
            <v>5</v>
          </cell>
          <cell r="P35">
            <v>18</v>
          </cell>
          <cell r="Q35">
            <v>1.2999999999999999E-2</v>
          </cell>
          <cell r="R35" t="str">
            <v>Grey</v>
          </cell>
          <cell r="W35" t="str">
            <v>Aqua Energie</v>
          </cell>
          <cell r="X35" t="str">
            <v>3D Wash System</v>
          </cell>
          <cell r="Y35" t="str">
            <v>Auto Tub Clean</v>
          </cell>
          <cell r="Z35" t="str">
            <v>Bi-axial Movement</v>
          </cell>
          <cell r="AA35" t="str">
            <v>Smart Sense</v>
          </cell>
          <cell r="AB35" t="str">
            <v>Machine Mobility</v>
          </cell>
          <cell r="AC35" t="str">
            <v>Soft Close Door</v>
          </cell>
          <cell r="AE35" t="str">
            <v>Auto Imbalance Vibration</v>
          </cell>
          <cell r="AF35" t="str">
            <v>High Low Voltage Protection</v>
          </cell>
          <cell r="AG35" t="str">
            <v>Program Memory Backup</v>
          </cell>
          <cell r="AH35" t="str">
            <v>Child Lock</v>
          </cell>
          <cell r="AI35" t="str">
            <v>Machine Level Indicator</v>
          </cell>
          <cell r="AJ35" t="str">
            <v>Lint Tower Filter</v>
          </cell>
          <cell r="AK35" t="str">
            <v>Triadic Pulsator</v>
          </cell>
          <cell r="AP35" t="str">
            <v>C</v>
          </cell>
        </row>
        <row r="36">
          <cell r="B36" t="str">
            <v>TL - SDSS 8 kg Aqua</v>
          </cell>
          <cell r="C36">
            <v>8903287022401</v>
          </cell>
          <cell r="D36" t="str">
            <v>TL-SDSS 8.0KG AQUA, TLM, 31450</v>
          </cell>
          <cell r="E36" t="str">
            <v>WM</v>
          </cell>
          <cell r="F36" t="str">
            <v>TLM</v>
          </cell>
          <cell r="G36" t="str">
            <v>https://www.ifbappliances.com/tl-sdss-8-kg-aqua</v>
          </cell>
          <cell r="H36">
            <v>31450</v>
          </cell>
          <cell r="I36">
            <v>31450</v>
          </cell>
          <cell r="J36">
            <v>30192</v>
          </cell>
          <cell r="K36" t="str">
            <v>IFB</v>
          </cell>
          <cell r="L36">
            <v>8</v>
          </cell>
          <cell r="M36">
            <v>720</v>
          </cell>
          <cell r="N36">
            <v>38</v>
          </cell>
          <cell r="O36">
            <v>5</v>
          </cell>
          <cell r="P36">
            <v>17</v>
          </cell>
          <cell r="Q36">
            <v>1.2999999999999999E-2</v>
          </cell>
          <cell r="R36" t="str">
            <v>Grey</v>
          </cell>
          <cell r="U36" t="str">
            <v>Power Steam</v>
          </cell>
          <cell r="V36" t="str">
            <v>Heater</v>
          </cell>
          <cell r="W36" t="str">
            <v>Aqua Energie</v>
          </cell>
          <cell r="X36" t="str">
            <v>3D Wash System</v>
          </cell>
          <cell r="Z36" t="str">
            <v>Bi-axial Movement</v>
          </cell>
          <cell r="AA36" t="str">
            <v>Smart Sense</v>
          </cell>
          <cell r="AB36" t="str">
            <v>Machine Mobility</v>
          </cell>
          <cell r="AC36" t="str">
            <v>Soft Close Door</v>
          </cell>
          <cell r="AE36" t="str">
            <v>Auto Imbalance Vibration</v>
          </cell>
          <cell r="AF36" t="str">
            <v>High Low Voltage Protection</v>
          </cell>
          <cell r="AG36" t="str">
            <v>Program Memory Backup</v>
          </cell>
          <cell r="AH36" t="str">
            <v>Child Lock</v>
          </cell>
          <cell r="AJ36" t="str">
            <v>Lint Tower Filter</v>
          </cell>
          <cell r="AK36" t="str">
            <v>Triadic Pulsator</v>
          </cell>
          <cell r="AN36" t="str">
            <v>Delay Start</v>
          </cell>
          <cell r="AO36" t="str">
            <v>Spray Rinse</v>
          </cell>
          <cell r="AP36" t="str">
            <v>B</v>
          </cell>
        </row>
        <row r="37">
          <cell r="B37" t="str">
            <v>TL - S4INS 12 kg Aqua</v>
          </cell>
          <cell r="C37">
            <v>8903287022937</v>
          </cell>
          <cell r="D37" t="str">
            <v>TL-S4INS 12.0KG AQUA, TLM, 46990</v>
          </cell>
          <cell r="E37" t="str">
            <v>WM</v>
          </cell>
          <cell r="F37" t="str">
            <v>TLM</v>
          </cell>
          <cell r="G37" t="str">
            <v>https://www.ifbappliances.com/tl-s4ins-12-kg-aqua</v>
          </cell>
          <cell r="H37">
            <v>46990</v>
          </cell>
          <cell r="I37">
            <v>46990</v>
          </cell>
          <cell r="J37">
            <v>41351.199999999997</v>
          </cell>
          <cell r="K37" t="str">
            <v>IFB</v>
          </cell>
          <cell r="L37">
            <v>12</v>
          </cell>
          <cell r="M37">
            <v>720</v>
          </cell>
          <cell r="N37">
            <v>46</v>
          </cell>
          <cell r="O37">
            <v>5</v>
          </cell>
          <cell r="P37">
            <v>17</v>
          </cell>
          <cell r="Q37">
            <v>1.2999999999999999E-2</v>
          </cell>
          <cell r="R37" t="str">
            <v>Inox</v>
          </cell>
          <cell r="T37" t="str">
            <v>AI</v>
          </cell>
          <cell r="U37" t="str">
            <v>Power Steam</v>
          </cell>
          <cell r="V37" t="str">
            <v>Heater</v>
          </cell>
          <cell r="W37" t="str">
            <v>Aqua Energie</v>
          </cell>
          <cell r="X37" t="str">
            <v>4D Wash System</v>
          </cell>
          <cell r="Y37" t="str">
            <v>Auto Tub Clean</v>
          </cell>
          <cell r="Z37" t="str">
            <v>Bi-axial Movement</v>
          </cell>
          <cell r="AA37" t="str">
            <v>Smart Sense</v>
          </cell>
          <cell r="AB37" t="str">
            <v>Machine Mobility</v>
          </cell>
          <cell r="AC37" t="str">
            <v>Soft Close Door</v>
          </cell>
          <cell r="AE37" t="str">
            <v>Auto Imbalance Vibration</v>
          </cell>
          <cell r="AF37" t="str">
            <v>High Low Voltage Protection</v>
          </cell>
          <cell r="AG37" t="str">
            <v>Program Memory Backup</v>
          </cell>
          <cell r="AH37" t="str">
            <v>Child Lock</v>
          </cell>
          <cell r="AI37" t="str">
            <v>Machine Level Indicator</v>
          </cell>
          <cell r="AJ37" t="str">
            <v>Lint Tower Filter</v>
          </cell>
          <cell r="AK37" t="str">
            <v>Triadic Pulsator</v>
          </cell>
          <cell r="AL37" t="str">
            <v>Drum Lamp</v>
          </cell>
          <cell r="AM37" t="str">
            <v>Water Recirculation Pump</v>
          </cell>
          <cell r="AN37" t="str">
            <v>Delay Start</v>
          </cell>
          <cell r="AO37" t="str">
            <v>Spray Rinse</v>
          </cell>
          <cell r="AP37" t="str">
            <v>A++</v>
          </cell>
        </row>
        <row r="38">
          <cell r="B38" t="str">
            <v>TL - SSBL 9 kg Aqua</v>
          </cell>
          <cell r="C38">
            <v>8903287022067</v>
          </cell>
          <cell r="D38" t="str">
            <v>TL-SSBL 9.0KG AQUA, TLM, 34690</v>
          </cell>
          <cell r="E38" t="str">
            <v>WM</v>
          </cell>
          <cell r="F38" t="str">
            <v>TLM</v>
          </cell>
          <cell r="G38" t="str">
            <v>https://www.ifbappliances.com/tl-ssbl-9-kg</v>
          </cell>
          <cell r="H38">
            <v>34690</v>
          </cell>
          <cell r="I38">
            <v>34690</v>
          </cell>
          <cell r="J38">
            <v>33302.400000000001</v>
          </cell>
          <cell r="K38" t="str">
            <v>IFB</v>
          </cell>
          <cell r="L38">
            <v>9</v>
          </cell>
          <cell r="M38">
            <v>720</v>
          </cell>
          <cell r="N38">
            <v>45</v>
          </cell>
          <cell r="O38">
            <v>5</v>
          </cell>
          <cell r="P38">
            <v>8.9</v>
          </cell>
          <cell r="Q38">
            <v>8.8999999999999996E-2</v>
          </cell>
          <cell r="R38" t="str">
            <v>Silver</v>
          </cell>
          <cell r="V38" t="str">
            <v>Heater</v>
          </cell>
          <cell r="W38" t="str">
            <v>Aqua Energie</v>
          </cell>
          <cell r="X38" t="str">
            <v>4D Wash System</v>
          </cell>
          <cell r="Z38" t="str">
            <v>Bi-axial Movement</v>
          </cell>
          <cell r="AA38" t="str">
            <v>Smart Sense</v>
          </cell>
          <cell r="AB38" t="str">
            <v>Machine Mobility</v>
          </cell>
          <cell r="AC38" t="str">
            <v>Soft Close Door</v>
          </cell>
          <cell r="AD38" t="str">
            <v>Auto Spa Therapy</v>
          </cell>
          <cell r="AE38" t="str">
            <v>Auto Imbalance Vibration</v>
          </cell>
          <cell r="AF38" t="str">
            <v>High Low Voltage Protection</v>
          </cell>
          <cell r="AG38" t="str">
            <v>Program Memory Backup</v>
          </cell>
          <cell r="AH38" t="str">
            <v>Child Lock</v>
          </cell>
          <cell r="AI38" t="str">
            <v>Machine Level Indicator</v>
          </cell>
          <cell r="AJ38" t="str">
            <v>Lint Tower Filter</v>
          </cell>
          <cell r="AK38" t="str">
            <v>Triadic Pulsator</v>
          </cell>
          <cell r="AL38" t="str">
            <v>Drum Lamp</v>
          </cell>
          <cell r="AM38" t="str">
            <v>Water Recirculation Pump</v>
          </cell>
          <cell r="AP38" t="str">
            <v>B</v>
          </cell>
        </row>
        <row r="39">
          <cell r="B39" t="str">
            <v>TL - S4RBS 12 kg Aqua</v>
          </cell>
          <cell r="C39">
            <v>8903287022920</v>
          </cell>
          <cell r="D39" t="str">
            <v>TL-S4RBS 12.0KG AQUA, TLM, 46490</v>
          </cell>
          <cell r="E39" t="str">
            <v>WM</v>
          </cell>
          <cell r="F39" t="str">
            <v>TLM</v>
          </cell>
          <cell r="G39" t="str">
            <v>https://www.ifbappliances.com/tl-s4rbs-12-kg-aqua</v>
          </cell>
          <cell r="H39">
            <v>46490</v>
          </cell>
          <cell r="I39">
            <v>46490</v>
          </cell>
          <cell r="J39">
            <v>40911.199999999997</v>
          </cell>
          <cell r="K39" t="str">
            <v>IFB</v>
          </cell>
          <cell r="L39">
            <v>12</v>
          </cell>
          <cell r="M39">
            <v>720</v>
          </cell>
          <cell r="N39">
            <v>46</v>
          </cell>
          <cell r="O39">
            <v>5</v>
          </cell>
          <cell r="P39">
            <v>17</v>
          </cell>
          <cell r="Q39">
            <v>1.2999999999999999E-2</v>
          </cell>
          <cell r="R39" t="str">
            <v>Blue</v>
          </cell>
          <cell r="U39" t="str">
            <v>Power Steam</v>
          </cell>
          <cell r="V39" t="str">
            <v>Heater</v>
          </cell>
          <cell r="W39" t="str">
            <v>Aqua Energie</v>
          </cell>
          <cell r="X39" t="str">
            <v>3D Wash System</v>
          </cell>
          <cell r="Y39" t="str">
            <v>Auto Tub Clean</v>
          </cell>
          <cell r="Z39" t="str">
            <v>Bi-axial Movement</v>
          </cell>
          <cell r="AA39" t="str">
            <v>Smart Sense</v>
          </cell>
          <cell r="AB39" t="str">
            <v>Machine Mobility</v>
          </cell>
          <cell r="AC39" t="str">
            <v>Soft Close Door</v>
          </cell>
          <cell r="AE39" t="str">
            <v>Auto Imbalance Vibration</v>
          </cell>
          <cell r="AF39" t="str">
            <v>High Low Voltage Protection</v>
          </cell>
          <cell r="AG39" t="str">
            <v>Program Memory Backup</v>
          </cell>
          <cell r="AH39" t="str">
            <v>Child Lock</v>
          </cell>
          <cell r="AI39" t="str">
            <v>Machine Level Indicator</v>
          </cell>
          <cell r="AJ39" t="str">
            <v>Lint Tower Filter</v>
          </cell>
          <cell r="AK39" t="str">
            <v>Triadic Pulsator</v>
          </cell>
          <cell r="AL39" t="str">
            <v>Drum Lamp</v>
          </cell>
          <cell r="AM39" t="str">
            <v>Water Recirculation Pump</v>
          </cell>
          <cell r="AN39" t="str">
            <v>Delay Start</v>
          </cell>
          <cell r="AO39" t="str">
            <v>Spray Rinse</v>
          </cell>
          <cell r="AP39" t="str">
            <v>A++</v>
          </cell>
        </row>
        <row r="40">
          <cell r="B40" t="str">
            <v>TL - S1WRS 7 Kg Aqua</v>
          </cell>
          <cell r="C40">
            <v>8903287027260</v>
          </cell>
          <cell r="D40" t="str">
            <v>TL-S1WRS 7.0KG AQUA, TLM, 33990</v>
          </cell>
          <cell r="E40" t="str">
            <v>WM</v>
          </cell>
          <cell r="F40" t="str">
            <v>TLM</v>
          </cell>
          <cell r="G40" t="str">
            <v>https://www.ifbappliances.com/tl-s1wrs-7-kg-aqua</v>
          </cell>
          <cell r="H40">
            <v>33990</v>
          </cell>
          <cell r="I40">
            <v>33990</v>
          </cell>
          <cell r="J40">
            <v>29911.200000000001</v>
          </cell>
          <cell r="K40" t="str">
            <v>IFB</v>
          </cell>
          <cell r="L40">
            <v>7</v>
          </cell>
          <cell r="M40">
            <v>720</v>
          </cell>
          <cell r="N40">
            <v>37</v>
          </cell>
          <cell r="O40">
            <v>5</v>
          </cell>
          <cell r="P40">
            <v>18</v>
          </cell>
          <cell r="Q40">
            <v>1.2999999999999999E-2</v>
          </cell>
          <cell r="R40" t="str">
            <v>Red</v>
          </cell>
          <cell r="T40" t="str">
            <v>AI</v>
          </cell>
          <cell r="U40" t="str">
            <v>Power Steam</v>
          </cell>
          <cell r="V40" t="str">
            <v>Heater</v>
          </cell>
          <cell r="W40" t="str">
            <v>Aqua Energie</v>
          </cell>
          <cell r="X40" t="str">
            <v>3D Wash System</v>
          </cell>
          <cell r="Y40" t="str">
            <v>Auto Tub Clean</v>
          </cell>
          <cell r="Z40" t="str">
            <v>Bi-axial Movement</v>
          </cell>
          <cell r="AA40" t="str">
            <v>Smart Sense</v>
          </cell>
          <cell r="AB40" t="str">
            <v>Machine Mobility</v>
          </cell>
          <cell r="AC40" t="str">
            <v>Soft Close Door</v>
          </cell>
          <cell r="AE40" t="str">
            <v>Auto Imbalance Vibration</v>
          </cell>
          <cell r="AF40" t="str">
            <v>High Low Voltage Protection</v>
          </cell>
          <cell r="AG40" t="str">
            <v>Program Memory Backup</v>
          </cell>
          <cell r="AH40" t="str">
            <v>Child Lock</v>
          </cell>
          <cell r="AJ40" t="str">
            <v>Lint Tower Filter</v>
          </cell>
          <cell r="AK40" t="str">
            <v>Triadic Pulsator</v>
          </cell>
          <cell r="AN40" t="str">
            <v>Delay Start</v>
          </cell>
          <cell r="AO40" t="str">
            <v>Spray Rinse</v>
          </cell>
          <cell r="AP40" t="str">
            <v>B</v>
          </cell>
        </row>
        <row r="41">
          <cell r="B41" t="str">
            <v>TL - SDSH 8 kg Aqua</v>
          </cell>
          <cell r="C41">
            <v>8903287022241</v>
          </cell>
          <cell r="D41" t="str">
            <v>TL-SDSH 8.0KG AQUA, TLM, 30990</v>
          </cell>
          <cell r="E41" t="str">
            <v>WM</v>
          </cell>
          <cell r="F41" t="str">
            <v>TLM</v>
          </cell>
          <cell r="G41" t="str">
            <v>https://www.ifbappliances.com/tl-sdsh-8-kg-aqua</v>
          </cell>
          <cell r="H41">
            <v>30990</v>
          </cell>
          <cell r="I41">
            <v>30990</v>
          </cell>
          <cell r="J41">
            <v>29750.400000000001</v>
          </cell>
          <cell r="K41" t="str">
            <v>IFB</v>
          </cell>
          <cell r="L41">
            <v>8</v>
          </cell>
          <cell r="M41">
            <v>720</v>
          </cell>
          <cell r="N41">
            <v>38</v>
          </cell>
          <cell r="O41">
            <v>5</v>
          </cell>
          <cell r="P41">
            <v>18</v>
          </cell>
          <cell r="Q41">
            <v>1.2999999999999999E-2</v>
          </cell>
          <cell r="R41" t="str">
            <v>Grey</v>
          </cell>
          <cell r="U41" t="str">
            <v>Power Steam</v>
          </cell>
          <cell r="V41" t="str">
            <v>Heater</v>
          </cell>
          <cell r="W41" t="str">
            <v>Aqua Energie</v>
          </cell>
          <cell r="X41" t="str">
            <v>3D Wash System</v>
          </cell>
          <cell r="AA41" t="str">
            <v>Smart Sense</v>
          </cell>
          <cell r="AB41" t="str">
            <v>Machine Mobility</v>
          </cell>
          <cell r="AC41" t="str">
            <v>Soft Close Door</v>
          </cell>
          <cell r="AE41" t="str">
            <v>Auto Imbalance Vibration</v>
          </cell>
          <cell r="AF41" t="str">
            <v>High Low Voltage Protection</v>
          </cell>
          <cell r="AG41" t="str">
            <v>Program Memory Backup</v>
          </cell>
          <cell r="AH41" t="str">
            <v>Child Lock</v>
          </cell>
          <cell r="AJ41" t="str">
            <v>Lint Tower Filter</v>
          </cell>
          <cell r="AK41" t="str">
            <v>Triadic Pulsator</v>
          </cell>
          <cell r="AN41" t="str">
            <v>Delay Start</v>
          </cell>
          <cell r="AO41" t="str">
            <v>Spray Rinse</v>
          </cell>
          <cell r="AP41" t="str">
            <v>B</v>
          </cell>
        </row>
        <row r="42">
          <cell r="B42" t="str">
            <v>TL - RESS 7 kg Aqua</v>
          </cell>
          <cell r="C42">
            <v>8903287022340</v>
          </cell>
          <cell r="D42" t="str">
            <v>TL-RESS 7.0KG AQUA, TLM, 23750</v>
          </cell>
          <cell r="E42" t="str">
            <v>WM</v>
          </cell>
          <cell r="F42" t="str">
            <v>TLM</v>
          </cell>
          <cell r="G42" t="str">
            <v>https://www.ifbappliances.com/tl-ress-7-kg-aqua</v>
          </cell>
          <cell r="H42">
            <v>23750</v>
          </cell>
          <cell r="I42">
            <v>23750</v>
          </cell>
          <cell r="J42">
            <v>22800</v>
          </cell>
          <cell r="K42" t="str">
            <v>IFB</v>
          </cell>
          <cell r="L42">
            <v>7</v>
          </cell>
          <cell r="M42">
            <v>720</v>
          </cell>
          <cell r="N42">
            <v>35</v>
          </cell>
          <cell r="O42">
            <v>5</v>
          </cell>
          <cell r="P42">
            <v>18</v>
          </cell>
          <cell r="Q42">
            <v>1.2999999999999999E-2</v>
          </cell>
          <cell r="R42" t="str">
            <v>Grey</v>
          </cell>
          <cell r="U42" t="str">
            <v>Power Steam</v>
          </cell>
          <cell r="V42" t="str">
            <v>Heater</v>
          </cell>
          <cell r="W42" t="str">
            <v>Aqua Energie</v>
          </cell>
          <cell r="X42" t="str">
            <v>3D Wash System</v>
          </cell>
          <cell r="Z42" t="str">
            <v>Bi-axial Movement</v>
          </cell>
          <cell r="AA42" t="str">
            <v>Smart Sense</v>
          </cell>
          <cell r="AB42" t="str">
            <v>Machine Mobility</v>
          </cell>
          <cell r="AE42" t="str">
            <v>Auto Imbalance Vibration</v>
          </cell>
          <cell r="AF42" t="str">
            <v>High Low Voltage Protection</v>
          </cell>
          <cell r="AG42" t="str">
            <v>Program Memory Backup</v>
          </cell>
          <cell r="AH42" t="str">
            <v>Child Lock</v>
          </cell>
          <cell r="AJ42" t="str">
            <v>Lint Tower Filter</v>
          </cell>
          <cell r="AK42" t="str">
            <v>Triadic Pulsator</v>
          </cell>
          <cell r="AP42" t="str">
            <v>C</v>
          </cell>
        </row>
        <row r="43">
          <cell r="B43" t="str">
            <v>TL - SPSS 6.5 kg Aqua</v>
          </cell>
          <cell r="C43">
            <v>8903287022333</v>
          </cell>
          <cell r="D43" t="str">
            <v>TL-SPSS 6.5KG AQUA, TLM, 27950</v>
          </cell>
          <cell r="E43" t="str">
            <v>WM</v>
          </cell>
          <cell r="F43" t="str">
            <v>TLM</v>
          </cell>
          <cell r="G43" t="str">
            <v>https://www.ifbappliances.com/tl-spss-6-5-kg-aqua</v>
          </cell>
          <cell r="H43">
            <v>27950</v>
          </cell>
          <cell r="I43">
            <v>27950</v>
          </cell>
          <cell r="J43">
            <v>26832</v>
          </cell>
          <cell r="K43" t="str">
            <v>IFB</v>
          </cell>
          <cell r="L43">
            <v>6.5</v>
          </cell>
          <cell r="M43">
            <v>720</v>
          </cell>
          <cell r="N43">
            <v>37</v>
          </cell>
          <cell r="O43">
            <v>5</v>
          </cell>
          <cell r="P43">
            <v>18</v>
          </cell>
          <cell r="Q43">
            <v>1.2999999999999999E-2</v>
          </cell>
          <cell r="R43" t="str">
            <v>Grey</v>
          </cell>
          <cell r="U43" t="str">
            <v>Power Steam</v>
          </cell>
          <cell r="V43" t="str">
            <v>Heater</v>
          </cell>
          <cell r="W43" t="str">
            <v>Aqua Energie</v>
          </cell>
          <cell r="X43" t="str">
            <v>3D Wash System</v>
          </cell>
          <cell r="Z43" t="str">
            <v>Bi-axial Movement</v>
          </cell>
          <cell r="AA43" t="str">
            <v>Smart Sense</v>
          </cell>
          <cell r="AB43" t="str">
            <v>Machine Mobility</v>
          </cell>
          <cell r="AC43" t="str">
            <v>Soft Close Door</v>
          </cell>
          <cell r="AE43" t="str">
            <v>Auto Imbalance Vibration</v>
          </cell>
          <cell r="AF43" t="str">
            <v>High Low Voltage Protection</v>
          </cell>
          <cell r="AG43" t="str">
            <v>Program Memory Backup</v>
          </cell>
          <cell r="AH43" t="str">
            <v>Child Lock</v>
          </cell>
          <cell r="AJ43" t="str">
            <v>Lint Tower Filter</v>
          </cell>
          <cell r="AK43" t="str">
            <v>Triadic Pulsator</v>
          </cell>
          <cell r="AN43" t="str">
            <v>Delay Start</v>
          </cell>
          <cell r="AO43" t="str">
            <v>Spray Rinse</v>
          </cell>
          <cell r="AP43" t="str">
            <v>C</v>
          </cell>
        </row>
        <row r="44">
          <cell r="B44" t="str">
            <v>TL R1WRS 6.5 Kg Aqua</v>
          </cell>
          <cell r="C44">
            <v>8903287027215</v>
          </cell>
          <cell r="D44" t="str">
            <v>TL-R1WRS 6.5KG AQUA, TLM, 28990</v>
          </cell>
          <cell r="E44" t="str">
            <v>WM</v>
          </cell>
          <cell r="F44" t="str">
            <v>TLM</v>
          </cell>
          <cell r="G44" t="str">
            <v>https://www.ifbappliances.com/tl-r1wrs-6-5-kg-aqua</v>
          </cell>
          <cell r="H44">
            <v>24990</v>
          </cell>
          <cell r="I44">
            <v>28990</v>
          </cell>
          <cell r="J44">
            <v>23990.400000000001</v>
          </cell>
          <cell r="K44" t="str">
            <v>IFB</v>
          </cell>
          <cell r="L44">
            <v>6.5</v>
          </cell>
          <cell r="M44">
            <v>720</v>
          </cell>
          <cell r="N44">
            <v>35</v>
          </cell>
          <cell r="O44">
            <v>5</v>
          </cell>
          <cell r="P44">
            <v>18</v>
          </cell>
          <cell r="Q44">
            <v>1.2999999999999999E-2</v>
          </cell>
          <cell r="R44" t="str">
            <v>Red</v>
          </cell>
          <cell r="U44" t="str">
            <v>Power Steam</v>
          </cell>
          <cell r="V44" t="str">
            <v>Heater</v>
          </cell>
          <cell r="W44" t="str">
            <v>Aqua Energie</v>
          </cell>
          <cell r="X44" t="str">
            <v>3D Wash System</v>
          </cell>
          <cell r="Z44" t="str">
            <v>Bi-axial Movement</v>
          </cell>
          <cell r="AA44" t="str">
            <v>Smart Sense</v>
          </cell>
          <cell r="AB44" t="str">
            <v>Machine Mobility</v>
          </cell>
          <cell r="AE44" t="str">
            <v>Auto Imbalance Vibration</v>
          </cell>
          <cell r="AF44" t="str">
            <v>High Low Voltage Protection</v>
          </cell>
          <cell r="AG44" t="str">
            <v>Program Memory Backup</v>
          </cell>
          <cell r="AH44" t="str">
            <v>Child Lock</v>
          </cell>
          <cell r="AJ44" t="str">
            <v>Lint Tower Filter</v>
          </cell>
          <cell r="AK44" t="str">
            <v>Triadic Pulsator</v>
          </cell>
          <cell r="AP44" t="str">
            <v>C</v>
          </cell>
        </row>
        <row r="45">
          <cell r="B45" t="str">
            <v>TL - R2BRS 8 kg Aqua</v>
          </cell>
          <cell r="C45">
            <v>8903287031007</v>
          </cell>
          <cell r="D45" t="str">
            <v>TL-R2BRS 8.0KG AQUA, TLM, 32990</v>
          </cell>
          <cell r="E45" t="str">
            <v>WM</v>
          </cell>
          <cell r="F45" t="str">
            <v>TLM</v>
          </cell>
          <cell r="G45" t="str">
            <v>https://www.ifbappliances.com/tl-r2brs-8-kg-aqua</v>
          </cell>
          <cell r="H45">
            <v>32990</v>
          </cell>
          <cell r="I45">
            <v>32990</v>
          </cell>
          <cell r="J45">
            <v>31670.400000000001</v>
          </cell>
          <cell r="K45" t="str">
            <v>IFB</v>
          </cell>
          <cell r="L45">
            <v>8</v>
          </cell>
          <cell r="M45">
            <v>720</v>
          </cell>
          <cell r="N45">
            <v>35</v>
          </cell>
          <cell r="O45">
            <v>5</v>
          </cell>
          <cell r="P45">
            <v>18</v>
          </cell>
          <cell r="Q45">
            <v>1.2999999999999999E-2</v>
          </cell>
          <cell r="R45" t="str">
            <v>Brown</v>
          </cell>
          <cell r="T45" t="str">
            <v>AI</v>
          </cell>
          <cell r="U45" t="str">
            <v>Power Steam</v>
          </cell>
          <cell r="V45" t="str">
            <v>Heater</v>
          </cell>
          <cell r="W45" t="str">
            <v>Aqua Energie</v>
          </cell>
          <cell r="X45" t="str">
            <v>3D Wash System</v>
          </cell>
          <cell r="AA45" t="str">
            <v>Smart Sense</v>
          </cell>
          <cell r="AB45" t="str">
            <v>Machine Mobility</v>
          </cell>
          <cell r="AE45" t="str">
            <v>Auto Imbalance Vibration</v>
          </cell>
          <cell r="AF45" t="str">
            <v>High Low Voltage Protection</v>
          </cell>
          <cell r="AG45" t="str">
            <v>Program Memory Backup</v>
          </cell>
          <cell r="AH45" t="str">
            <v>Child Lock</v>
          </cell>
          <cell r="AJ45" t="str">
            <v>Lint Tower Filter</v>
          </cell>
          <cell r="AM45" t="str">
            <v>Water Recirculation Pump</v>
          </cell>
          <cell r="AN45" t="str">
            <v>Delay Start</v>
          </cell>
          <cell r="AO45" t="str">
            <v>Spray Rinse</v>
          </cell>
          <cell r="AP45" t="str">
            <v>B</v>
          </cell>
        </row>
      </sheetData>
      <sheetData sheetId="2">
        <row r="2">
          <cell r="B2" t="str">
            <v>TurboDry 550</v>
          </cell>
          <cell r="C2">
            <v>8903287000676</v>
          </cell>
          <cell r="D2" t="str">
            <v>TURBO DRY, CD, 25690</v>
          </cell>
          <cell r="E2" t="str">
            <v>CD</v>
          </cell>
          <cell r="F2" t="str">
            <v>CD</v>
          </cell>
          <cell r="G2" t="str">
            <v>https://www.ifbappliances.com/turbodry-550-5-5kg-l-55rpm</v>
          </cell>
          <cell r="H2">
            <v>26690</v>
          </cell>
          <cell r="I2">
            <v>23487.200000000001</v>
          </cell>
          <cell r="J2" t="str">
            <v>IFB</v>
          </cell>
          <cell r="K2">
            <v>5.5</v>
          </cell>
          <cell r="L2">
            <v>55</v>
          </cell>
          <cell r="M2">
            <v>26</v>
          </cell>
          <cell r="N2">
            <v>2.9</v>
          </cell>
          <cell r="O2">
            <v>13</v>
          </cell>
          <cell r="P2" t="str">
            <v>Mocha</v>
          </cell>
          <cell r="Q2" t="str">
            <v>Hot Air Drying</v>
          </cell>
          <cell r="R2" t="str">
            <v>Refresh Cycle</v>
          </cell>
          <cell r="S2" t="str">
            <v>Anticrease</v>
          </cell>
          <cell r="T2" t="str">
            <v>Flexible Placement</v>
          </cell>
          <cell r="U2" t="str">
            <v>Lint Filter</v>
          </cell>
          <cell r="V2" t="str">
            <v>2 Way Air Flow</v>
          </cell>
          <cell r="W2" t="str">
            <v>Safety Door Limit Switch</v>
          </cell>
          <cell r="X2" t="str">
            <v>Thermal Overload Protector</v>
          </cell>
          <cell r="Y2" t="str">
            <v>Mixed Load</v>
          </cell>
          <cell r="Z2" t="str">
            <v>Synthetic</v>
          </cell>
          <cell r="AA2" t="str">
            <v>Cotton</v>
          </cell>
          <cell r="AB2" t="str">
            <v>A+</v>
          </cell>
        </row>
        <row r="3">
          <cell r="B3" t="str">
            <v>Turbo Dry MX</v>
          </cell>
          <cell r="C3">
            <v>8903287000768</v>
          </cell>
          <cell r="D3" t="str">
            <v>TURBO DRY MX, CD, 29990</v>
          </cell>
          <cell r="E3" t="str">
            <v>CD</v>
          </cell>
          <cell r="F3" t="str">
            <v>CD</v>
          </cell>
          <cell r="G3" t="str">
            <v>https://www.ifbappliances.com/turbo-dry-mx</v>
          </cell>
          <cell r="H3">
            <v>30990</v>
          </cell>
          <cell r="I3">
            <v>27271.200000000001</v>
          </cell>
          <cell r="J3" t="str">
            <v>IFB</v>
          </cell>
          <cell r="K3">
            <v>5.5</v>
          </cell>
          <cell r="L3">
            <v>55</v>
          </cell>
          <cell r="M3">
            <v>26</v>
          </cell>
          <cell r="N3">
            <v>2.9</v>
          </cell>
          <cell r="O3">
            <v>13</v>
          </cell>
          <cell r="P3" t="str">
            <v>Mocha</v>
          </cell>
          <cell r="Q3" t="str">
            <v>Hot Air Drying</v>
          </cell>
          <cell r="R3" t="str">
            <v>Refresh Cycle</v>
          </cell>
          <cell r="S3" t="str">
            <v>Anticrease</v>
          </cell>
          <cell r="T3" t="str">
            <v>Flexible Placement</v>
          </cell>
          <cell r="U3" t="str">
            <v>Lint Filter</v>
          </cell>
          <cell r="V3" t="str">
            <v>2 Way Air Flow</v>
          </cell>
          <cell r="W3" t="str">
            <v>Safety Door Limit Switch</v>
          </cell>
          <cell r="X3" t="str">
            <v>Thermal Overload Protector</v>
          </cell>
          <cell r="Y3" t="str">
            <v>Mixed Load</v>
          </cell>
          <cell r="Z3" t="str">
            <v>Synthetic</v>
          </cell>
          <cell r="AA3" t="str">
            <v>Cotton</v>
          </cell>
          <cell r="AB3" t="str">
            <v>A++</v>
          </cell>
        </row>
        <row r="4">
          <cell r="B4" t="str">
            <v>Turbo Dry LX</v>
          </cell>
          <cell r="C4">
            <v>8903287000751</v>
          </cell>
          <cell r="D4" t="str">
            <v>TURBO DRY LX, CD, 29990</v>
          </cell>
          <cell r="E4" t="str">
            <v>CD</v>
          </cell>
          <cell r="F4" t="str">
            <v>CD</v>
          </cell>
          <cell r="G4" t="str">
            <v>https://www.ifbappliances.com/turbo-dry-lx</v>
          </cell>
          <cell r="H4">
            <v>29990</v>
          </cell>
          <cell r="I4">
            <v>26391.200000000001</v>
          </cell>
          <cell r="J4" t="str">
            <v>IFB</v>
          </cell>
          <cell r="K4">
            <v>5.5</v>
          </cell>
          <cell r="L4">
            <v>55</v>
          </cell>
          <cell r="M4">
            <v>26</v>
          </cell>
          <cell r="N4">
            <v>2.9</v>
          </cell>
          <cell r="O4">
            <v>13</v>
          </cell>
          <cell r="P4" t="str">
            <v>Yellow</v>
          </cell>
          <cell r="Q4" t="str">
            <v>Hot Air Drying</v>
          </cell>
          <cell r="R4" t="str">
            <v>Refresh Cycle</v>
          </cell>
          <cell r="S4" t="str">
            <v>Anticrease</v>
          </cell>
          <cell r="T4" t="str">
            <v>Flexible Placement</v>
          </cell>
          <cell r="U4" t="str">
            <v>Lint Filter</v>
          </cell>
          <cell r="V4" t="str">
            <v>2 Way Air Flow</v>
          </cell>
          <cell r="W4" t="str">
            <v>Safety Door Limit Switch</v>
          </cell>
          <cell r="X4" t="str">
            <v>Thermal Overload Protector</v>
          </cell>
          <cell r="Y4" t="str">
            <v>Mixed Load</v>
          </cell>
          <cell r="Z4" t="str">
            <v>Synthetic</v>
          </cell>
          <cell r="AA4" t="str">
            <v>Cotton</v>
          </cell>
          <cell r="AB4" t="str">
            <v>A++</v>
          </cell>
        </row>
        <row r="5">
          <cell r="B5" t="str">
            <v>Turbo Dry RX</v>
          </cell>
          <cell r="C5">
            <v>8903287000775</v>
          </cell>
          <cell r="D5" t="str">
            <v>TURBO DRY RX, CD, 29990</v>
          </cell>
          <cell r="E5" t="str">
            <v>CD</v>
          </cell>
          <cell r="F5" t="str">
            <v>CD</v>
          </cell>
          <cell r="G5" t="str">
            <v>https://www.ifbappliances.com/turbo-dry-rx</v>
          </cell>
          <cell r="H5">
            <v>29990</v>
          </cell>
          <cell r="I5">
            <v>26391.200000000001</v>
          </cell>
          <cell r="J5" t="str">
            <v>IFB</v>
          </cell>
          <cell r="K5">
            <v>5.5</v>
          </cell>
          <cell r="L5">
            <v>55</v>
          </cell>
          <cell r="M5">
            <v>26</v>
          </cell>
          <cell r="N5">
            <v>2.9</v>
          </cell>
          <cell r="O5">
            <v>13</v>
          </cell>
          <cell r="P5" t="str">
            <v>Red</v>
          </cell>
          <cell r="Q5" t="str">
            <v>Hot Air Drying</v>
          </cell>
          <cell r="R5" t="str">
            <v>Refresh Cycle</v>
          </cell>
          <cell r="S5" t="str">
            <v>Anticrease</v>
          </cell>
          <cell r="T5" t="str">
            <v>Flexible Placement</v>
          </cell>
          <cell r="U5" t="str">
            <v>Lint Filter</v>
          </cell>
          <cell r="V5" t="str">
            <v>2 Way Air Flow</v>
          </cell>
          <cell r="W5" t="str">
            <v>Safety Door Limit Switch</v>
          </cell>
          <cell r="X5" t="str">
            <v>Thermal Overload Protector</v>
          </cell>
          <cell r="Y5" t="str">
            <v>Mixed Load</v>
          </cell>
          <cell r="Z5" t="str">
            <v>Synthetic</v>
          </cell>
          <cell r="AA5" t="str">
            <v>Cotton</v>
          </cell>
          <cell r="AB5" t="str">
            <v>A++</v>
          </cell>
        </row>
        <row r="6">
          <cell r="B6" t="str">
            <v>TurboDry EX</v>
          </cell>
          <cell r="C6">
            <v>8903287000669</v>
          </cell>
          <cell r="D6" t="str">
            <v>TURBO DRY EX, CD, 26990</v>
          </cell>
          <cell r="E6" t="str">
            <v>CD</v>
          </cell>
          <cell r="F6" t="str">
            <v>CD</v>
          </cell>
          <cell r="G6" t="str">
            <v>https://www.ifbappliances.com/turbodry-ex-5-5kg-l-55rpm</v>
          </cell>
          <cell r="H6">
            <v>27990</v>
          </cell>
          <cell r="I6">
            <v>24631.200000000001</v>
          </cell>
          <cell r="J6" t="str">
            <v>IFB</v>
          </cell>
          <cell r="K6">
            <v>5.5</v>
          </cell>
          <cell r="L6">
            <v>55</v>
          </cell>
          <cell r="M6">
            <v>26</v>
          </cell>
          <cell r="N6">
            <v>2.9</v>
          </cell>
          <cell r="O6">
            <v>13</v>
          </cell>
          <cell r="P6" t="str">
            <v>Silver</v>
          </cell>
          <cell r="Q6" t="str">
            <v>Hot Air Drying</v>
          </cell>
          <cell r="R6" t="str">
            <v>Refresh Cycle</v>
          </cell>
          <cell r="S6" t="str">
            <v>Anticrease</v>
          </cell>
          <cell r="T6" t="str">
            <v>Flexible Placement</v>
          </cell>
          <cell r="U6" t="str">
            <v>Lint Filter</v>
          </cell>
          <cell r="V6" t="str">
            <v>2 Way Air Flow</v>
          </cell>
          <cell r="W6" t="str">
            <v>Safety Door Limit Switch</v>
          </cell>
          <cell r="X6" t="str">
            <v>Thermal Overload Protector</v>
          </cell>
          <cell r="Y6" t="str">
            <v>Mixed Load</v>
          </cell>
          <cell r="Z6" t="str">
            <v>Synthetic</v>
          </cell>
          <cell r="AA6" t="str">
            <v>Cotton</v>
          </cell>
          <cell r="AB6" t="str">
            <v>A++</v>
          </cell>
        </row>
      </sheetData>
      <sheetData sheetId="3">
        <row r="2">
          <cell r="B2" t="str">
            <v>20PM-MEC2B</v>
          </cell>
          <cell r="C2">
            <v>8903287005602</v>
          </cell>
          <cell r="D2" t="str">
            <v>MICRO WAVE OVEN 20PM-MEC2B, MW, 7690</v>
          </cell>
          <cell r="E2" t="str">
            <v>MW</v>
          </cell>
          <cell r="F2" t="str">
            <v>MW-Solo</v>
          </cell>
          <cell r="G2" t="str">
            <v>https://www.ifbappliances.com/20pm-mec2b</v>
          </cell>
          <cell r="H2">
            <v>7690</v>
          </cell>
          <cell r="I2">
            <v>7459.3</v>
          </cell>
          <cell r="J2" t="str">
            <v>IFB</v>
          </cell>
          <cell r="K2">
            <v>20</v>
          </cell>
          <cell r="L2" t="str">
            <v>Free Standing</v>
          </cell>
          <cell r="M2">
            <v>10.8</v>
          </cell>
          <cell r="N2">
            <v>800</v>
          </cell>
          <cell r="O2" t="str">
            <v>Black</v>
          </cell>
          <cell r="P2" t="str">
            <v>Auto Defrost</v>
          </cell>
          <cell r="Q2" t="str">
            <v>Power Levels</v>
          </cell>
          <cell r="AA2" t="str">
            <v>Overheating Protection</v>
          </cell>
          <cell r="AB2" t="str">
            <v>Intelligent System Cooling</v>
          </cell>
          <cell r="AE2" t="str">
            <v>Timer</v>
          </cell>
          <cell r="AH2" t="str">
            <v>C</v>
          </cell>
        </row>
        <row r="3">
          <cell r="B3" t="str">
            <v>25PM2S</v>
          </cell>
          <cell r="C3">
            <v>8903287005589</v>
          </cell>
          <cell r="D3" t="str">
            <v>MICROWAVE OVEN 25PM2S, MW, 9590</v>
          </cell>
          <cell r="E3" t="str">
            <v>MW</v>
          </cell>
          <cell r="F3" t="str">
            <v>MW-Solo</v>
          </cell>
          <cell r="G3" t="str">
            <v>https://www.ifbappliances.com/25pm2s-25ltrs-l-solo</v>
          </cell>
          <cell r="H3">
            <v>9590</v>
          </cell>
          <cell r="I3">
            <v>9302.2999999999993</v>
          </cell>
          <cell r="J3" t="str">
            <v>IFB</v>
          </cell>
          <cell r="K3">
            <v>25</v>
          </cell>
          <cell r="L3" t="str">
            <v>Free Standing</v>
          </cell>
          <cell r="M3">
            <v>13.4</v>
          </cell>
          <cell r="N3">
            <v>900</v>
          </cell>
          <cell r="O3" t="str">
            <v>Silver</v>
          </cell>
          <cell r="P3" t="str">
            <v>Auto Defrost</v>
          </cell>
          <cell r="Q3" t="str">
            <v>Power Levels</v>
          </cell>
          <cell r="R3" t="str">
            <v>Steam Clean</v>
          </cell>
          <cell r="S3" t="str">
            <v>Disinfect</v>
          </cell>
          <cell r="T3" t="str">
            <v>Deodorizer</v>
          </cell>
          <cell r="U3" t="str">
            <v>Auto Reheat</v>
          </cell>
          <cell r="V3" t="str">
            <v>Power Save</v>
          </cell>
          <cell r="AA3" t="str">
            <v>Overheating Protection</v>
          </cell>
          <cell r="AB3" t="str">
            <v>Intelligent System Cooling</v>
          </cell>
          <cell r="AC3" t="str">
            <v>Child Safety Lock</v>
          </cell>
          <cell r="AE3" t="str">
            <v>Timer</v>
          </cell>
          <cell r="AF3" t="str">
            <v>Digital Clock</v>
          </cell>
          <cell r="AG3" t="str">
            <v>Express Cook</v>
          </cell>
          <cell r="AH3" t="str">
            <v>C</v>
          </cell>
        </row>
        <row r="4">
          <cell r="B4" t="str">
            <v>24PM2B</v>
          </cell>
          <cell r="C4">
            <v>8903287005695</v>
          </cell>
          <cell r="D4" t="str">
            <v>MICRO WAVE OVEN 24PM2B, MW, 8990</v>
          </cell>
          <cell r="E4" t="str">
            <v>MW</v>
          </cell>
          <cell r="F4" t="str">
            <v>MW-Solo</v>
          </cell>
          <cell r="G4" t="str">
            <v>https://www.ifbappliances.com/24pm2b</v>
          </cell>
          <cell r="H4">
            <v>8990</v>
          </cell>
          <cell r="I4">
            <v>8720.2999999999993</v>
          </cell>
          <cell r="J4" t="str">
            <v>IFB</v>
          </cell>
          <cell r="K4">
            <v>24</v>
          </cell>
          <cell r="L4" t="str">
            <v>Plug and Start Counter Top</v>
          </cell>
          <cell r="M4">
            <v>11.8</v>
          </cell>
          <cell r="N4">
            <v>900</v>
          </cell>
          <cell r="O4" t="str">
            <v>Black</v>
          </cell>
          <cell r="P4" t="str">
            <v>Auto Defrost</v>
          </cell>
          <cell r="Q4" t="str">
            <v>Power Levels</v>
          </cell>
          <cell r="R4" t="str">
            <v>Steam Clean</v>
          </cell>
          <cell r="S4" t="str">
            <v>Disinfect</v>
          </cell>
          <cell r="T4" t="str">
            <v>Deodorizer</v>
          </cell>
          <cell r="U4" t="str">
            <v>Auto Reheat</v>
          </cell>
          <cell r="V4" t="str">
            <v>Power Save</v>
          </cell>
          <cell r="AA4" t="str">
            <v>Overheating Protection</v>
          </cell>
          <cell r="AB4" t="str">
            <v>Intelligent System Cooling</v>
          </cell>
          <cell r="AC4" t="str">
            <v>Child Safety Lock</v>
          </cell>
          <cell r="AE4" t="str">
            <v>Timer</v>
          </cell>
          <cell r="AF4" t="str">
            <v>Digital Clock</v>
          </cell>
          <cell r="AG4" t="str">
            <v>Express Cook</v>
          </cell>
          <cell r="AH4" t="str">
            <v>C</v>
          </cell>
        </row>
        <row r="5">
          <cell r="B5" t="str">
            <v>20PM-MEC2</v>
          </cell>
          <cell r="C5">
            <v>8903287005596</v>
          </cell>
          <cell r="D5" t="str">
            <v>MICRO WAVE OVEN 20PM-MEC2, MW, 7390</v>
          </cell>
          <cell r="E5" t="str">
            <v>MW</v>
          </cell>
          <cell r="F5" t="str">
            <v>MW-Solo</v>
          </cell>
          <cell r="G5" t="str">
            <v>https://www.ifbappliances.com/20pm-mec2</v>
          </cell>
          <cell r="H5">
            <v>7490</v>
          </cell>
          <cell r="I5">
            <v>7265.3</v>
          </cell>
          <cell r="J5" t="str">
            <v>IFB</v>
          </cell>
          <cell r="K5">
            <v>20</v>
          </cell>
          <cell r="L5" t="str">
            <v>Free Standing</v>
          </cell>
          <cell r="M5">
            <v>10.8</v>
          </cell>
          <cell r="N5">
            <v>800</v>
          </cell>
          <cell r="O5" t="str">
            <v>White</v>
          </cell>
          <cell r="P5" t="str">
            <v>Auto Defrost</v>
          </cell>
          <cell r="Q5" t="str">
            <v>Power Levels</v>
          </cell>
          <cell r="AA5" t="str">
            <v>Overheating Protection</v>
          </cell>
          <cell r="AB5" t="str">
            <v>Intelligent System Cooling</v>
          </cell>
          <cell r="AE5" t="str">
            <v>Timer</v>
          </cell>
          <cell r="AH5" t="str">
            <v>C</v>
          </cell>
        </row>
        <row r="6">
          <cell r="B6" t="str">
            <v>20PG4S</v>
          </cell>
          <cell r="C6">
            <v>8903287005404</v>
          </cell>
          <cell r="D6" t="str">
            <v>MICRO WAVE OVEN 20PG4S, MW, 10590</v>
          </cell>
          <cell r="E6" t="str">
            <v>MW</v>
          </cell>
          <cell r="F6" t="str">
            <v>MW-Grill</v>
          </cell>
          <cell r="G6" t="str">
            <v>https://www.ifbappliances.com/20pg4s</v>
          </cell>
          <cell r="H6">
            <v>10590</v>
          </cell>
          <cell r="I6">
            <v>10272.299999999999</v>
          </cell>
          <cell r="J6" t="str">
            <v>IFB</v>
          </cell>
          <cell r="K6">
            <v>20</v>
          </cell>
          <cell r="L6" t="str">
            <v>Free Standing</v>
          </cell>
          <cell r="M6">
            <v>13.4</v>
          </cell>
          <cell r="N6">
            <v>800</v>
          </cell>
          <cell r="O6" t="str">
            <v>Silver</v>
          </cell>
          <cell r="P6" t="str">
            <v>Auto Defrost</v>
          </cell>
          <cell r="Q6" t="str">
            <v>Power Levels</v>
          </cell>
          <cell r="R6" t="str">
            <v>Steam Clean</v>
          </cell>
          <cell r="T6" t="str">
            <v>Deodorizer</v>
          </cell>
          <cell r="V6" t="str">
            <v>Power Save</v>
          </cell>
          <cell r="W6" t="str">
            <v>Grill+Microwave</v>
          </cell>
          <cell r="AA6" t="str">
            <v>Overheating Protection</v>
          </cell>
          <cell r="AB6" t="str">
            <v>Intelligent System Cooling</v>
          </cell>
          <cell r="AC6" t="str">
            <v>Child Safety Lock</v>
          </cell>
          <cell r="AE6" t="str">
            <v>Timer</v>
          </cell>
          <cell r="AF6" t="str">
            <v>Digital Clock</v>
          </cell>
          <cell r="AG6" t="str">
            <v>Express Cook</v>
          </cell>
          <cell r="AH6" t="str">
            <v>C</v>
          </cell>
        </row>
        <row r="7">
          <cell r="B7" t="str">
            <v>23SC3</v>
          </cell>
          <cell r="C7">
            <v>8903287005213</v>
          </cell>
          <cell r="D7" t="str">
            <v>MICRO WAVE OVEN CONVECTION 23SC3, MW, 14990</v>
          </cell>
          <cell r="E7" t="str">
            <v>MW</v>
          </cell>
          <cell r="F7" t="str">
            <v>MW-Convection</v>
          </cell>
          <cell r="G7" t="str">
            <v>https://www.ifbappliances.com/23sc3</v>
          </cell>
          <cell r="H7">
            <v>14990</v>
          </cell>
          <cell r="I7">
            <v>13790.8</v>
          </cell>
          <cell r="J7" t="str">
            <v>IFB</v>
          </cell>
          <cell r="K7">
            <v>23</v>
          </cell>
          <cell r="L7" t="str">
            <v>Free Standing</v>
          </cell>
          <cell r="M7">
            <v>16</v>
          </cell>
          <cell r="N7">
            <v>900</v>
          </cell>
          <cell r="O7" t="str">
            <v>Silver</v>
          </cell>
          <cell r="P7" t="str">
            <v>Auto Defrost</v>
          </cell>
          <cell r="Q7" t="str">
            <v>10 Power Levels</v>
          </cell>
          <cell r="R7" t="str">
            <v>Steam Clean</v>
          </cell>
          <cell r="S7" t="str">
            <v>Disinfect</v>
          </cell>
          <cell r="T7" t="str">
            <v>Deodorizer</v>
          </cell>
          <cell r="U7" t="str">
            <v>Auto Reheat</v>
          </cell>
          <cell r="V7" t="str">
            <v>Power Save</v>
          </cell>
          <cell r="W7" t="str">
            <v>Grill+Microwave+Convection</v>
          </cell>
          <cell r="X7" t="str">
            <v>Yoghurt</v>
          </cell>
          <cell r="Y7" t="str">
            <v>Fermentation</v>
          </cell>
          <cell r="AA7" t="str">
            <v>Overheating Protection</v>
          </cell>
          <cell r="AB7" t="str">
            <v>Intelligent System Cooling</v>
          </cell>
          <cell r="AC7" t="str">
            <v>Child Safety Lock</v>
          </cell>
          <cell r="AD7" t="str">
            <v>Sensor Malfunction Protection</v>
          </cell>
          <cell r="AE7" t="str">
            <v>Timer</v>
          </cell>
          <cell r="AF7" t="str">
            <v>Digital Clock</v>
          </cell>
          <cell r="AG7" t="str">
            <v>Express Cook</v>
          </cell>
          <cell r="AH7" t="str">
            <v>B</v>
          </cell>
        </row>
        <row r="8">
          <cell r="B8" t="str">
            <v>25BC3</v>
          </cell>
          <cell r="C8">
            <v>8903287005268</v>
          </cell>
          <cell r="D8" t="str">
            <v>MICRO WAVE OVEN 25BC3, MW, 17490</v>
          </cell>
          <cell r="E8" t="str">
            <v>MW</v>
          </cell>
          <cell r="F8" t="str">
            <v>MW-Convection</v>
          </cell>
          <cell r="G8" t="str">
            <v>https://www.ifbappliances.com/25bc3</v>
          </cell>
          <cell r="H8">
            <v>17490</v>
          </cell>
          <cell r="I8">
            <v>16090.8</v>
          </cell>
          <cell r="J8" t="str">
            <v>IFB</v>
          </cell>
          <cell r="K8">
            <v>25</v>
          </cell>
          <cell r="L8" t="str">
            <v>Free Standing</v>
          </cell>
          <cell r="M8">
            <v>16</v>
          </cell>
          <cell r="N8">
            <v>900</v>
          </cell>
          <cell r="O8" t="str">
            <v>Black</v>
          </cell>
          <cell r="P8" t="str">
            <v>Auto Defrost</v>
          </cell>
          <cell r="Q8" t="str">
            <v>10 Power Levels</v>
          </cell>
          <cell r="R8" t="str">
            <v>Steam Clean</v>
          </cell>
          <cell r="T8" t="str">
            <v>Deodorizer</v>
          </cell>
          <cell r="U8" t="str">
            <v>Auto Reheat</v>
          </cell>
          <cell r="V8" t="str">
            <v>Power Save</v>
          </cell>
          <cell r="W8" t="str">
            <v>Grill+Microwave+Convection</v>
          </cell>
          <cell r="X8" t="str">
            <v>Yoghurt</v>
          </cell>
          <cell r="Y8" t="str">
            <v>Fermentation</v>
          </cell>
          <cell r="AA8" t="str">
            <v>Overheating Protection</v>
          </cell>
          <cell r="AC8" t="str">
            <v>Child Safety Lock</v>
          </cell>
          <cell r="AD8" t="str">
            <v>Sensor Malfunction Protection</v>
          </cell>
          <cell r="AE8" t="str">
            <v>Timer</v>
          </cell>
          <cell r="AF8" t="str">
            <v>Digital Clock</v>
          </cell>
          <cell r="AG8" t="str">
            <v>Express Cook</v>
          </cell>
          <cell r="AH8" t="str">
            <v>A+</v>
          </cell>
        </row>
        <row r="9">
          <cell r="B9" t="str">
            <v>30BRC2</v>
          </cell>
          <cell r="C9">
            <v>8903287005220</v>
          </cell>
          <cell r="D9" t="str">
            <v>MICRO WAVE OVEN CONVECTION 30BRC2, MW, 20390</v>
          </cell>
          <cell r="E9" t="str">
            <v>MW</v>
          </cell>
          <cell r="F9" t="str">
            <v>MW-Convection</v>
          </cell>
          <cell r="G9" t="str">
            <v>https://www.ifbappliances.com/30brc2</v>
          </cell>
          <cell r="H9">
            <v>20390</v>
          </cell>
          <cell r="I9">
            <v>18758.8</v>
          </cell>
          <cell r="J9" t="str">
            <v>IFB</v>
          </cell>
          <cell r="K9">
            <v>30</v>
          </cell>
          <cell r="L9" t="str">
            <v>Free Standing</v>
          </cell>
          <cell r="M9">
            <v>19</v>
          </cell>
          <cell r="N9">
            <v>900</v>
          </cell>
          <cell r="O9" t="str">
            <v>Black</v>
          </cell>
          <cell r="P9" t="str">
            <v>Auto Defrost</v>
          </cell>
          <cell r="Q9" t="str">
            <v>10 Power Levels</v>
          </cell>
          <cell r="R9" t="str">
            <v>Steam Clean</v>
          </cell>
          <cell r="S9" t="str">
            <v>Disinfect</v>
          </cell>
          <cell r="T9" t="str">
            <v>Deodorizer</v>
          </cell>
          <cell r="U9" t="str">
            <v>Auto Reheat</v>
          </cell>
          <cell r="V9" t="str">
            <v>Power Save</v>
          </cell>
          <cell r="W9" t="str">
            <v>Grill+Microwave+Convection</v>
          </cell>
          <cell r="X9" t="str">
            <v>Yoghurt</v>
          </cell>
          <cell r="Y9" t="str">
            <v>Fermentation</v>
          </cell>
          <cell r="AA9" t="str">
            <v>Overheating Protection</v>
          </cell>
          <cell r="AB9" t="str">
            <v>Intelligent System Cooling</v>
          </cell>
          <cell r="AC9" t="str">
            <v>Child Safety Lock</v>
          </cell>
          <cell r="AD9" t="str">
            <v>Sensor Malfunction Protection</v>
          </cell>
          <cell r="AE9" t="str">
            <v>Timer</v>
          </cell>
          <cell r="AF9" t="str">
            <v>Digital Clock</v>
          </cell>
          <cell r="AG9" t="str">
            <v>Express Cook</v>
          </cell>
          <cell r="AH9" t="str">
            <v>A++</v>
          </cell>
        </row>
        <row r="10">
          <cell r="B10" t="str">
            <v>23BC4</v>
          </cell>
          <cell r="C10">
            <v>8903287005312</v>
          </cell>
          <cell r="D10" t="str">
            <v>MICRO WAVE OVEN 23BC4, MW, 16790</v>
          </cell>
          <cell r="E10" t="str">
            <v>MW</v>
          </cell>
          <cell r="F10" t="str">
            <v>MW-Convection</v>
          </cell>
          <cell r="G10" t="str">
            <v>https://www.ifbappliances.com/23bc4</v>
          </cell>
          <cell r="H10">
            <v>16790</v>
          </cell>
          <cell r="I10">
            <v>15446.8</v>
          </cell>
          <cell r="J10" t="str">
            <v>IFB</v>
          </cell>
          <cell r="K10">
            <v>23</v>
          </cell>
          <cell r="L10" t="str">
            <v>Free Standing</v>
          </cell>
          <cell r="M10">
            <v>16</v>
          </cell>
          <cell r="N10">
            <v>900</v>
          </cell>
          <cell r="O10" t="str">
            <v>Black</v>
          </cell>
          <cell r="P10" t="str">
            <v>Auto Defrost</v>
          </cell>
          <cell r="Q10" t="str">
            <v>10 Power Levels</v>
          </cell>
          <cell r="R10" t="str">
            <v>Steam Clean</v>
          </cell>
          <cell r="S10" t="str">
            <v>Disinfect</v>
          </cell>
          <cell r="T10" t="str">
            <v>Deodorizer</v>
          </cell>
          <cell r="U10" t="str">
            <v>Auto Reheat</v>
          </cell>
          <cell r="V10" t="str">
            <v>Power Save</v>
          </cell>
          <cell r="W10" t="str">
            <v>Grill+Microwave+Convection</v>
          </cell>
          <cell r="Y10" t="str">
            <v>Fermentation</v>
          </cell>
          <cell r="AA10" t="str">
            <v>Overheating Protection</v>
          </cell>
          <cell r="AB10" t="str">
            <v>Intelligent System Cooling</v>
          </cell>
          <cell r="AC10" t="str">
            <v>Child Safety Lock</v>
          </cell>
          <cell r="AD10" t="str">
            <v>Sensor Malfunction Protection</v>
          </cell>
          <cell r="AE10" t="str">
            <v>Timer</v>
          </cell>
          <cell r="AF10" t="str">
            <v>Digital Clock</v>
          </cell>
          <cell r="AG10" t="str">
            <v>Express Cook</v>
          </cell>
          <cell r="AH10" t="str">
            <v>A</v>
          </cell>
        </row>
        <row r="11">
          <cell r="B11" t="str">
            <v>25SC4</v>
          </cell>
          <cell r="C11">
            <v>8903287005350</v>
          </cell>
          <cell r="D11" t="str">
            <v>MICRO WAVE OVEN 25SC4, MW, 17990</v>
          </cell>
          <cell r="E11" t="str">
            <v>MW</v>
          </cell>
          <cell r="F11" t="str">
            <v>MW-Convection</v>
          </cell>
          <cell r="G11" t="str">
            <v>https://www.ifbappliances.com/25sc4-163</v>
          </cell>
          <cell r="H11">
            <v>17990</v>
          </cell>
          <cell r="I11">
            <v>16550.8</v>
          </cell>
          <cell r="J11" t="str">
            <v>IFB</v>
          </cell>
          <cell r="K11">
            <v>25</v>
          </cell>
          <cell r="L11" t="str">
            <v>Free Standing</v>
          </cell>
          <cell r="M11">
            <v>16</v>
          </cell>
          <cell r="N11">
            <v>900</v>
          </cell>
          <cell r="O11" t="str">
            <v>Silver</v>
          </cell>
          <cell r="P11" t="str">
            <v>Auto Defrost</v>
          </cell>
          <cell r="Q11" t="str">
            <v>10 Power Levels</v>
          </cell>
          <cell r="R11" t="str">
            <v>Steam Clean</v>
          </cell>
          <cell r="T11" t="str">
            <v>Deodorizer</v>
          </cell>
          <cell r="U11" t="str">
            <v>Auto Reheat</v>
          </cell>
          <cell r="V11" t="str">
            <v>Power Save</v>
          </cell>
          <cell r="W11" t="str">
            <v>Grill+Microwave+Convection</v>
          </cell>
          <cell r="X11" t="str">
            <v>Yoghurt</v>
          </cell>
          <cell r="Y11" t="str">
            <v>Fermentation</v>
          </cell>
          <cell r="AA11" t="str">
            <v>Overheating Protection</v>
          </cell>
          <cell r="AB11" t="str">
            <v>Intelligent System Cooling</v>
          </cell>
          <cell r="AC11" t="str">
            <v>Child Safety Lock</v>
          </cell>
          <cell r="AD11" t="str">
            <v>Sensor Malfunction Protection</v>
          </cell>
          <cell r="AE11" t="str">
            <v>Timer</v>
          </cell>
          <cell r="AF11" t="str">
            <v>Digital Clock</v>
          </cell>
          <cell r="AG11" t="str">
            <v>Express Cook</v>
          </cell>
          <cell r="AH11" t="str">
            <v>A+</v>
          </cell>
        </row>
        <row r="12">
          <cell r="B12" t="str">
            <v>30FRC2</v>
          </cell>
          <cell r="C12">
            <v>8903287005411</v>
          </cell>
          <cell r="D12" t="str">
            <v>MICRO WAVE OVEN 30FRC2, MW, 20990</v>
          </cell>
          <cell r="E12" t="str">
            <v>MW</v>
          </cell>
          <cell r="F12" t="str">
            <v>MW-Convection</v>
          </cell>
          <cell r="G12" t="str">
            <v>https://www.ifbappliances.com/30frc2</v>
          </cell>
          <cell r="H12">
            <v>20990</v>
          </cell>
          <cell r="I12">
            <v>19310.8</v>
          </cell>
          <cell r="J12" t="str">
            <v>IFB</v>
          </cell>
          <cell r="K12">
            <v>30</v>
          </cell>
          <cell r="L12" t="str">
            <v>Free Standing</v>
          </cell>
          <cell r="M12">
            <v>19</v>
          </cell>
          <cell r="N12">
            <v>900</v>
          </cell>
          <cell r="O12" t="str">
            <v>Black</v>
          </cell>
          <cell r="P12" t="str">
            <v>Auto Defrost</v>
          </cell>
          <cell r="Q12" t="str">
            <v>10 Power Levels</v>
          </cell>
          <cell r="R12" t="str">
            <v>Steam Clean</v>
          </cell>
          <cell r="S12" t="str">
            <v>Disinfect</v>
          </cell>
          <cell r="T12" t="str">
            <v>Deodorizer</v>
          </cell>
          <cell r="U12" t="str">
            <v>Auto Reheat</v>
          </cell>
          <cell r="V12" t="str">
            <v>Power Save</v>
          </cell>
          <cell r="W12" t="str">
            <v>Grill+Microwave+Convection</v>
          </cell>
          <cell r="Y12" t="str">
            <v>Fermentation</v>
          </cell>
          <cell r="Z12" t="str">
            <v>Rotisserie</v>
          </cell>
          <cell r="AA12" t="str">
            <v>Overheating Protection</v>
          </cell>
          <cell r="AB12" t="str">
            <v>Intelligent System Cooling</v>
          </cell>
          <cell r="AC12" t="str">
            <v>Child Safety Lock</v>
          </cell>
          <cell r="AD12" t="str">
            <v>Sensor Malfunction Protection</v>
          </cell>
          <cell r="AE12" t="str">
            <v>Timer</v>
          </cell>
          <cell r="AF12" t="str">
            <v>Digital Clock</v>
          </cell>
          <cell r="AG12" t="str">
            <v>Express Cook</v>
          </cell>
          <cell r="AH12" t="str">
            <v>A++</v>
          </cell>
        </row>
        <row r="13">
          <cell r="B13" t="str">
            <v>20BC4</v>
          </cell>
          <cell r="C13">
            <v>8903287005367</v>
          </cell>
          <cell r="D13" t="str">
            <v>MICRO WAVE OVEN 20BC4, MW, 14390</v>
          </cell>
          <cell r="E13" t="str">
            <v>MW</v>
          </cell>
          <cell r="F13" t="str">
            <v>MW-Convection</v>
          </cell>
          <cell r="G13" t="str">
            <v>https://www.ifbappliances.com/20bc4</v>
          </cell>
          <cell r="H13">
            <v>14390</v>
          </cell>
          <cell r="I13">
            <v>13238.8</v>
          </cell>
          <cell r="J13" t="str">
            <v>IFB</v>
          </cell>
          <cell r="K13">
            <v>20</v>
          </cell>
          <cell r="L13" t="str">
            <v>Free Standing</v>
          </cell>
          <cell r="M13">
            <v>15</v>
          </cell>
          <cell r="N13">
            <v>800</v>
          </cell>
          <cell r="O13" t="str">
            <v>Black</v>
          </cell>
          <cell r="P13" t="str">
            <v>Auto Defrost</v>
          </cell>
          <cell r="Q13" t="str">
            <v>10 Power Levels</v>
          </cell>
          <cell r="R13" t="str">
            <v>Steam Clean</v>
          </cell>
          <cell r="S13" t="str">
            <v>Disinfect</v>
          </cell>
          <cell r="U13" t="str">
            <v>Auto Reheat</v>
          </cell>
          <cell r="V13" t="str">
            <v>Power Save</v>
          </cell>
          <cell r="W13" t="str">
            <v>Grill+Microwave+Convection</v>
          </cell>
          <cell r="X13" t="str">
            <v>Yoghurt</v>
          </cell>
          <cell r="Y13" t="str">
            <v>Fermentation</v>
          </cell>
          <cell r="AA13" t="str">
            <v>Overheating Protection</v>
          </cell>
          <cell r="AB13" t="str">
            <v>Intelligent System Cooling</v>
          </cell>
          <cell r="AC13" t="str">
            <v>Child Safety Lock</v>
          </cell>
          <cell r="AD13" t="str">
            <v>Sensor Malfunction Protection</v>
          </cell>
          <cell r="AE13" t="str">
            <v>Timer</v>
          </cell>
          <cell r="AF13" t="str">
            <v>Digital Clock</v>
          </cell>
          <cell r="AG13" t="str">
            <v>Express Cook</v>
          </cell>
          <cell r="AH13" t="str">
            <v>B</v>
          </cell>
        </row>
        <row r="14">
          <cell r="B14" t="str">
            <v>25BC4</v>
          </cell>
          <cell r="C14">
            <v>8903287005336</v>
          </cell>
          <cell r="D14" t="str">
            <v>MICRO WAVE OVEN 25BC4, MW, 18690</v>
          </cell>
          <cell r="E14" t="str">
            <v>MW</v>
          </cell>
          <cell r="F14" t="str">
            <v>MW-Convection</v>
          </cell>
          <cell r="G14" t="str">
            <v>https://www.ifbappliances.com/25bc4</v>
          </cell>
          <cell r="H14">
            <v>18690</v>
          </cell>
          <cell r="I14">
            <v>17194.8</v>
          </cell>
          <cell r="J14" t="str">
            <v>IFB</v>
          </cell>
          <cell r="K14">
            <v>25</v>
          </cell>
          <cell r="L14" t="str">
            <v>Free Standing</v>
          </cell>
          <cell r="M14">
            <v>16</v>
          </cell>
          <cell r="N14">
            <v>900</v>
          </cell>
          <cell r="O14" t="str">
            <v>Black</v>
          </cell>
          <cell r="P14" t="str">
            <v>Auto Defrost</v>
          </cell>
          <cell r="Q14" t="str">
            <v>10 Power Levels</v>
          </cell>
          <cell r="R14" t="str">
            <v>Steam Clean</v>
          </cell>
          <cell r="T14" t="str">
            <v>Deodorizer</v>
          </cell>
          <cell r="U14" t="str">
            <v>Auto Reheat</v>
          </cell>
          <cell r="V14" t="str">
            <v>Power Save</v>
          </cell>
          <cell r="W14" t="str">
            <v>Grill+Microwave+Convection</v>
          </cell>
          <cell r="X14" t="str">
            <v>Yoghurt</v>
          </cell>
          <cell r="Y14" t="str">
            <v>Fermentation</v>
          </cell>
          <cell r="AA14" t="str">
            <v>Overheating Protection</v>
          </cell>
          <cell r="AB14" t="str">
            <v>Intelligent System Cooling</v>
          </cell>
          <cell r="AC14" t="str">
            <v>Child Safety Lock</v>
          </cell>
          <cell r="AD14" t="str">
            <v>Sensor Malfunction Protection</v>
          </cell>
          <cell r="AE14" t="str">
            <v>Timer</v>
          </cell>
          <cell r="AF14" t="str">
            <v>Digital Clock</v>
          </cell>
          <cell r="AG14" t="str">
            <v>Express Cook</v>
          </cell>
          <cell r="AH14" t="str">
            <v>A+</v>
          </cell>
        </row>
        <row r="15">
          <cell r="B15" t="str">
            <v>28BC5</v>
          </cell>
          <cell r="C15">
            <v>8903287005664</v>
          </cell>
          <cell r="D15" t="str">
            <v>MICRO WAVE OVEN 28BC5, MW, 18490</v>
          </cell>
          <cell r="E15" t="str">
            <v>MW</v>
          </cell>
          <cell r="F15" t="str">
            <v>MW-Convection</v>
          </cell>
          <cell r="G15" t="str">
            <v>https://www.ifbappliances.com/28bc5</v>
          </cell>
          <cell r="H15">
            <v>18490</v>
          </cell>
          <cell r="I15">
            <v>17010.8</v>
          </cell>
          <cell r="J15" t="str">
            <v>IFB</v>
          </cell>
          <cell r="K15">
            <v>28</v>
          </cell>
          <cell r="L15" t="str">
            <v>Free Standing</v>
          </cell>
          <cell r="M15">
            <v>15.8</v>
          </cell>
          <cell r="N15">
            <v>900</v>
          </cell>
          <cell r="O15" t="str">
            <v>Black</v>
          </cell>
          <cell r="P15" t="str">
            <v>Auto Defrost</v>
          </cell>
          <cell r="Q15" t="str">
            <v>10 Power Levels</v>
          </cell>
          <cell r="R15" t="str">
            <v>Steam Clean</v>
          </cell>
          <cell r="S15" t="str">
            <v>Disinfect</v>
          </cell>
          <cell r="T15" t="str">
            <v>Deodorizer</v>
          </cell>
          <cell r="U15" t="str">
            <v>Auto Reheat</v>
          </cell>
          <cell r="V15" t="str">
            <v>Power Save</v>
          </cell>
          <cell r="W15" t="str">
            <v>Grill+Microwave+Convection</v>
          </cell>
          <cell r="Y15" t="str">
            <v>Fermentation</v>
          </cell>
          <cell r="AA15" t="str">
            <v>Overheating Protection</v>
          </cell>
          <cell r="AC15" t="str">
            <v>Child Safety Lock</v>
          </cell>
          <cell r="AD15" t="str">
            <v>Sensor Malfunction Protection</v>
          </cell>
          <cell r="AE15" t="str">
            <v>Timer</v>
          </cell>
          <cell r="AF15" t="str">
            <v>Digital Clock</v>
          </cell>
          <cell r="AG15" t="str">
            <v>Express Cook</v>
          </cell>
          <cell r="AH15" t="str">
            <v>A+</v>
          </cell>
        </row>
        <row r="16">
          <cell r="B16" t="str">
            <v>30BRC3</v>
          </cell>
          <cell r="C16">
            <v>8903287005510</v>
          </cell>
          <cell r="D16" t="str">
            <v>MICRO WAVE OVEN 30BRC3, MW, 20490</v>
          </cell>
          <cell r="E16" t="str">
            <v>MW</v>
          </cell>
          <cell r="F16" t="str">
            <v>MW-Convection</v>
          </cell>
          <cell r="G16" t="str">
            <v>https://www.ifbappliances.com/30brc3</v>
          </cell>
          <cell r="H16">
            <v>20490</v>
          </cell>
          <cell r="I16">
            <v>18850.8</v>
          </cell>
          <cell r="J16" t="str">
            <v>IFB</v>
          </cell>
          <cell r="K16">
            <v>30</v>
          </cell>
          <cell r="L16" t="str">
            <v>Plug and Start Counter Top</v>
          </cell>
          <cell r="M16">
            <v>19</v>
          </cell>
          <cell r="N16">
            <v>900</v>
          </cell>
          <cell r="O16" t="str">
            <v>Black</v>
          </cell>
          <cell r="P16" t="str">
            <v>Auto Defrost</v>
          </cell>
          <cell r="Q16" t="str">
            <v>10 Power Levels</v>
          </cell>
          <cell r="R16" t="str">
            <v>Steam Clean</v>
          </cell>
          <cell r="S16" t="str">
            <v>Disinfect</v>
          </cell>
          <cell r="T16" t="str">
            <v>Deodorizer</v>
          </cell>
          <cell r="U16" t="str">
            <v>Auto Reheat</v>
          </cell>
          <cell r="V16" t="str">
            <v>Power Save</v>
          </cell>
          <cell r="W16" t="str">
            <v>Grill+Microwave+Convection</v>
          </cell>
          <cell r="X16" t="str">
            <v>Yoghurt</v>
          </cell>
          <cell r="Y16" t="str">
            <v>Fermentation</v>
          </cell>
          <cell r="Z16" t="str">
            <v>Rotisserie</v>
          </cell>
          <cell r="AA16" t="str">
            <v>Overheating Protection</v>
          </cell>
          <cell r="AB16" t="str">
            <v>Intelligent System Cooling</v>
          </cell>
          <cell r="AC16" t="str">
            <v>Child Safety Lock</v>
          </cell>
          <cell r="AD16" t="str">
            <v>Sensor Malfunction Protection</v>
          </cell>
          <cell r="AE16" t="str">
            <v>Timer</v>
          </cell>
          <cell r="AF16" t="str">
            <v>Digital Clock</v>
          </cell>
          <cell r="AG16" t="str">
            <v>Express Cook</v>
          </cell>
          <cell r="AH16" t="str">
            <v>A++</v>
          </cell>
        </row>
        <row r="17">
          <cell r="B17" t="str">
            <v>30SC4</v>
          </cell>
          <cell r="C17">
            <v>8903287005374</v>
          </cell>
          <cell r="D17" t="str">
            <v>MICRO WAVE OVEN 30SC4, MW, 18990</v>
          </cell>
          <cell r="E17" t="str">
            <v>MW</v>
          </cell>
          <cell r="F17" t="str">
            <v>MW-Convection</v>
          </cell>
          <cell r="G17" t="str">
            <v>https://www.ifbappliances.com/30sc4</v>
          </cell>
          <cell r="H17">
            <v>18990</v>
          </cell>
          <cell r="I17">
            <v>17470.8</v>
          </cell>
          <cell r="J17" t="str">
            <v>IFB</v>
          </cell>
          <cell r="K17">
            <v>30</v>
          </cell>
          <cell r="L17" t="str">
            <v>Free Standing</v>
          </cell>
          <cell r="M17">
            <v>18.399999999999999</v>
          </cell>
          <cell r="N17">
            <v>900</v>
          </cell>
          <cell r="O17" t="str">
            <v>Silver</v>
          </cell>
          <cell r="P17" t="str">
            <v>Auto Defrost</v>
          </cell>
          <cell r="Q17" t="str">
            <v>10 Power Levels</v>
          </cell>
          <cell r="R17" t="str">
            <v>Steam Clean</v>
          </cell>
          <cell r="T17" t="str">
            <v>Deodorizer</v>
          </cell>
          <cell r="U17" t="str">
            <v>Auto Reheat</v>
          </cell>
          <cell r="W17" t="str">
            <v>Grill+Microwave+Convection</v>
          </cell>
          <cell r="X17" t="str">
            <v>Yoghurt</v>
          </cell>
          <cell r="Y17" t="str">
            <v>Fermentation</v>
          </cell>
          <cell r="AA17" t="str">
            <v>Overheating Protection</v>
          </cell>
          <cell r="AB17" t="str">
            <v>Intelligent System Cooling</v>
          </cell>
          <cell r="AC17" t="str">
            <v>Child Safety Lock</v>
          </cell>
          <cell r="AD17" t="str">
            <v>Sensor Malfunction Protection</v>
          </cell>
          <cell r="AE17" t="str">
            <v>Timer</v>
          </cell>
          <cell r="AF17" t="str">
            <v>Digital Clock</v>
          </cell>
          <cell r="AG17" t="str">
            <v>Express Cook</v>
          </cell>
          <cell r="AH17" t="str">
            <v>A++</v>
          </cell>
        </row>
        <row r="18">
          <cell r="B18" t="str">
            <v>20BC5</v>
          </cell>
          <cell r="C18">
            <v>8903287005534</v>
          </cell>
          <cell r="D18" t="str">
            <v>MICRO WAVE OVEN 20BC5, MW, 16190</v>
          </cell>
          <cell r="E18" t="str">
            <v>MW</v>
          </cell>
          <cell r="F18" t="str">
            <v>MW-Convection</v>
          </cell>
          <cell r="G18" t="str">
            <v>https://www.ifbappliances.com/20bc5</v>
          </cell>
          <cell r="H18">
            <v>16190</v>
          </cell>
          <cell r="I18">
            <v>14894.8</v>
          </cell>
          <cell r="J18" t="str">
            <v>IFB</v>
          </cell>
          <cell r="K18">
            <v>20</v>
          </cell>
          <cell r="L18" t="str">
            <v>Free Standing</v>
          </cell>
          <cell r="M18">
            <v>15</v>
          </cell>
          <cell r="N18">
            <v>800</v>
          </cell>
          <cell r="O18" t="str">
            <v>Black</v>
          </cell>
          <cell r="P18" t="str">
            <v>Auto Defrost</v>
          </cell>
          <cell r="Q18" t="str">
            <v>5 Power Levels</v>
          </cell>
          <cell r="R18" t="str">
            <v>Steam Clean</v>
          </cell>
          <cell r="S18" t="str">
            <v>Disinfect</v>
          </cell>
          <cell r="T18" t="str">
            <v>Deodorizer</v>
          </cell>
          <cell r="U18" t="str">
            <v>Auto Reheat</v>
          </cell>
          <cell r="V18" t="str">
            <v>Power Save</v>
          </cell>
          <cell r="W18" t="str">
            <v>Grill+Microwave+Convection</v>
          </cell>
          <cell r="X18" t="str">
            <v>Yoghurt</v>
          </cell>
          <cell r="AA18" t="str">
            <v>Overheating Protection</v>
          </cell>
          <cell r="AB18" t="str">
            <v>Intelligent System Cooling</v>
          </cell>
          <cell r="AC18" t="str">
            <v>Child Safety Lock</v>
          </cell>
          <cell r="AD18" t="str">
            <v>Sensor Malfunction Protection</v>
          </cell>
          <cell r="AE18" t="str">
            <v>Timer</v>
          </cell>
          <cell r="AF18" t="str">
            <v>Digital Clock</v>
          </cell>
          <cell r="AG18" t="str">
            <v>Express Cook</v>
          </cell>
          <cell r="AH18" t="str">
            <v>A</v>
          </cell>
        </row>
        <row r="19">
          <cell r="B19" t="str">
            <v>23BC5</v>
          </cell>
          <cell r="C19">
            <v>8903287005541</v>
          </cell>
          <cell r="D19" t="str">
            <v>MICRO WAVE OVEN 23BC5, MW, 16990</v>
          </cell>
          <cell r="E19" t="str">
            <v>MW</v>
          </cell>
          <cell r="F19" t="str">
            <v>MW-Convection</v>
          </cell>
          <cell r="G19" t="str">
            <v>https://www.ifbappliances.com/23bc5</v>
          </cell>
          <cell r="H19">
            <v>16990</v>
          </cell>
          <cell r="I19">
            <v>15630.8</v>
          </cell>
          <cell r="J19" t="str">
            <v>IFB</v>
          </cell>
          <cell r="K19">
            <v>23</v>
          </cell>
          <cell r="L19" t="str">
            <v>Free Standing</v>
          </cell>
          <cell r="M19">
            <v>14.1</v>
          </cell>
          <cell r="N19">
            <v>900</v>
          </cell>
          <cell r="O19" t="str">
            <v>Black</v>
          </cell>
          <cell r="P19" t="str">
            <v>Auto Defrost</v>
          </cell>
          <cell r="Q19" t="str">
            <v>10 Power Levels</v>
          </cell>
          <cell r="R19" t="str">
            <v>Steam Clean</v>
          </cell>
          <cell r="S19" t="str">
            <v>Disinfect</v>
          </cell>
          <cell r="T19" t="str">
            <v>Deodorizer</v>
          </cell>
          <cell r="U19" t="str">
            <v>Auto Reheat</v>
          </cell>
          <cell r="V19" t="str">
            <v>Power Save</v>
          </cell>
          <cell r="W19" t="str">
            <v>Grill+Microwave+Convection</v>
          </cell>
          <cell r="X19" t="str">
            <v>Yoghurt</v>
          </cell>
          <cell r="Y19" t="str">
            <v>Fermentation</v>
          </cell>
          <cell r="AA19" t="str">
            <v>Overheating Protection</v>
          </cell>
          <cell r="AB19" t="str">
            <v>Intelligent System Cooling</v>
          </cell>
          <cell r="AC19" t="str">
            <v>Child Safety Lock</v>
          </cell>
          <cell r="AD19" t="str">
            <v>Sensor Malfunction Protection</v>
          </cell>
          <cell r="AE19" t="str">
            <v>Timer</v>
          </cell>
          <cell r="AF19" t="str">
            <v>Digital Clock</v>
          </cell>
          <cell r="AG19" t="str">
            <v>Express Cook</v>
          </cell>
          <cell r="AH19" t="str">
            <v>A+</v>
          </cell>
        </row>
        <row r="20">
          <cell r="B20" t="str">
            <v>30BC5</v>
          </cell>
          <cell r="C20">
            <v>8903287005572</v>
          </cell>
          <cell r="D20" t="str">
            <v>MICRO WAVE OVEN 30BC5, MW, 19390</v>
          </cell>
          <cell r="E20" t="str">
            <v>MW</v>
          </cell>
          <cell r="F20" t="str">
            <v>MW-Convection</v>
          </cell>
          <cell r="G20" t="str">
            <v>https://www.ifbappliances.com/30bc5-30-ltrs-l-convection</v>
          </cell>
          <cell r="H20">
            <v>19390</v>
          </cell>
          <cell r="I20">
            <v>17838.8</v>
          </cell>
          <cell r="J20" t="str">
            <v>IFB</v>
          </cell>
          <cell r="K20">
            <v>30</v>
          </cell>
          <cell r="L20" t="str">
            <v>Free Standing</v>
          </cell>
          <cell r="M20">
            <v>18.399999999999999</v>
          </cell>
          <cell r="N20">
            <v>900</v>
          </cell>
          <cell r="O20" t="str">
            <v>Black</v>
          </cell>
          <cell r="P20" t="str">
            <v>Auto Defrost</v>
          </cell>
          <cell r="Q20" t="str">
            <v>5 Power Levels</v>
          </cell>
          <cell r="R20" t="str">
            <v>Steam Clean</v>
          </cell>
          <cell r="S20" t="str">
            <v>Disinfect</v>
          </cell>
          <cell r="T20" t="str">
            <v>Deodorizer</v>
          </cell>
          <cell r="U20" t="str">
            <v>Auto Reheat</v>
          </cell>
          <cell r="V20" t="str">
            <v>Power Save</v>
          </cell>
          <cell r="W20" t="str">
            <v>Grill+Microwave+Convection</v>
          </cell>
          <cell r="X20" t="str">
            <v>Yoghurt</v>
          </cell>
          <cell r="Y20" t="str">
            <v>Fermentation</v>
          </cell>
          <cell r="AA20" t="str">
            <v>Overheating Protection</v>
          </cell>
          <cell r="AB20" t="str">
            <v>Intelligent System Cooling</v>
          </cell>
          <cell r="AC20" t="str">
            <v>Child Safety Lock</v>
          </cell>
          <cell r="AD20" t="str">
            <v>Sensor Malfunction Protection</v>
          </cell>
          <cell r="AE20" t="str">
            <v>Timer</v>
          </cell>
          <cell r="AF20" t="str">
            <v>Digital Clock</v>
          </cell>
          <cell r="AG20" t="str">
            <v>Express Cook</v>
          </cell>
          <cell r="AH20" t="str">
            <v>A++</v>
          </cell>
        </row>
        <row r="21">
          <cell r="B21" t="str">
            <v>25DGBC2</v>
          </cell>
          <cell r="C21">
            <v>8903287005565</v>
          </cell>
          <cell r="D21" t="str">
            <v>MICRO WAVE OVEN 25DGBC2, MW, 18590</v>
          </cell>
          <cell r="E21" t="str">
            <v>MW</v>
          </cell>
          <cell r="F21" t="str">
            <v>MW-Convection</v>
          </cell>
          <cell r="G21" t="str">
            <v>https://www.ifbappliances.com/25dgbc2-25-ltrs</v>
          </cell>
          <cell r="H21">
            <v>18590</v>
          </cell>
          <cell r="I21">
            <v>17102.8</v>
          </cell>
          <cell r="J21" t="str">
            <v>IFB</v>
          </cell>
          <cell r="K21">
            <v>25</v>
          </cell>
          <cell r="L21" t="str">
            <v>Free Standing</v>
          </cell>
          <cell r="M21">
            <v>16</v>
          </cell>
          <cell r="N21">
            <v>900</v>
          </cell>
          <cell r="O21" t="str">
            <v>Black</v>
          </cell>
          <cell r="P21" t="str">
            <v>Auto Defrost</v>
          </cell>
          <cell r="Q21" t="str">
            <v>5 Power Levels</v>
          </cell>
          <cell r="U21" t="str">
            <v>Auto Reheat</v>
          </cell>
          <cell r="W21" t="str">
            <v>Grill+Microwave+Convection</v>
          </cell>
          <cell r="AA21" t="str">
            <v>Overheating Protection</v>
          </cell>
          <cell r="AC21" t="str">
            <v>Child Safety Lock</v>
          </cell>
          <cell r="AD21" t="str">
            <v>Sensor Malfunction Protection</v>
          </cell>
          <cell r="AE21" t="str">
            <v>Timer</v>
          </cell>
          <cell r="AF21" t="str">
            <v>Digital Clock</v>
          </cell>
          <cell r="AG21" t="str">
            <v>Express Cook</v>
          </cell>
          <cell r="AH21" t="str">
            <v>A+</v>
          </cell>
        </row>
        <row r="22">
          <cell r="B22" t="str">
            <v>21SC5</v>
          </cell>
          <cell r="E22" t="str">
            <v>MW</v>
          </cell>
          <cell r="F22" t="str">
            <v>MW-Convection</v>
          </cell>
          <cell r="G22" t="str">
            <v>https://www.ifbappliances.com/21sc5</v>
          </cell>
          <cell r="H22">
            <v>14790</v>
          </cell>
          <cell r="I22">
            <v>13606.8</v>
          </cell>
          <cell r="J22" t="str">
            <v>IFB</v>
          </cell>
          <cell r="K22">
            <v>21</v>
          </cell>
          <cell r="L22" t="str">
            <v>Plug and Start Counter Top</v>
          </cell>
          <cell r="M22">
            <v>13.1</v>
          </cell>
          <cell r="N22">
            <v>800</v>
          </cell>
          <cell r="O22" t="str">
            <v>Silver</v>
          </cell>
          <cell r="P22" t="str">
            <v>Auto Defrost</v>
          </cell>
          <cell r="Q22" t="str">
            <v>10 Power Levels</v>
          </cell>
          <cell r="R22" t="str">
            <v>Steam Clean</v>
          </cell>
          <cell r="T22" t="str">
            <v>Deodorizer</v>
          </cell>
          <cell r="U22" t="str">
            <v>Auto Reheat</v>
          </cell>
          <cell r="V22" t="str">
            <v>Power Save</v>
          </cell>
          <cell r="W22" t="str">
            <v>Grill+Microwave+Convection</v>
          </cell>
          <cell r="X22" t="str">
            <v>Yoghurt</v>
          </cell>
          <cell r="Y22" t="str">
            <v>Fermentation</v>
          </cell>
          <cell r="AA22" t="str">
            <v>Overheating Protection</v>
          </cell>
          <cell r="AB22" t="str">
            <v>Intelligent System Cooling</v>
          </cell>
          <cell r="AC22" t="str">
            <v>Child Safety Lock</v>
          </cell>
          <cell r="AD22" t="str">
            <v>Sensor Malfunction Protection</v>
          </cell>
          <cell r="AE22" t="str">
            <v>Timer</v>
          </cell>
          <cell r="AF22" t="str">
            <v>Digital Clock</v>
          </cell>
          <cell r="AG22" t="str">
            <v>Express Cook</v>
          </cell>
          <cell r="AH22" t="str">
            <v>B</v>
          </cell>
        </row>
        <row r="23">
          <cell r="B23" t="str">
            <v>20SC2</v>
          </cell>
          <cell r="C23">
            <v>8903287005077</v>
          </cell>
          <cell r="D23" t="str">
            <v>MICROWAVE OVEN 20SC2, MW, 14490</v>
          </cell>
          <cell r="E23" t="str">
            <v>MW</v>
          </cell>
          <cell r="F23" t="str">
            <v>MW-Convection</v>
          </cell>
          <cell r="G23" t="str">
            <v>https://www.ifbappliances.com/20sc2</v>
          </cell>
          <cell r="H23">
            <v>14490</v>
          </cell>
          <cell r="I23">
            <v>13330.8</v>
          </cell>
          <cell r="J23" t="str">
            <v>IFB</v>
          </cell>
          <cell r="K23">
            <v>20</v>
          </cell>
          <cell r="L23" t="str">
            <v>Free Standing</v>
          </cell>
          <cell r="M23">
            <v>15</v>
          </cell>
          <cell r="N23">
            <v>800</v>
          </cell>
          <cell r="O23" t="str">
            <v>Silver</v>
          </cell>
          <cell r="P23" t="str">
            <v>Auto Defrost</v>
          </cell>
          <cell r="Q23" t="str">
            <v>10 Power Levels</v>
          </cell>
          <cell r="U23" t="str">
            <v>Auto Reheat</v>
          </cell>
          <cell r="W23" t="str">
            <v>Grill+Microwave+Convection</v>
          </cell>
          <cell r="AA23" t="str">
            <v>Overheating Protection</v>
          </cell>
          <cell r="AB23" t="str">
            <v>Intelligent System Cooling</v>
          </cell>
          <cell r="AC23" t="str">
            <v>Child Safety Lock</v>
          </cell>
          <cell r="AD23" t="str">
            <v>Sensor Malfunction Protection</v>
          </cell>
          <cell r="AE23" t="str">
            <v>Timer</v>
          </cell>
          <cell r="AF23" t="str">
            <v>Digital Clock</v>
          </cell>
          <cell r="AG23" t="str">
            <v>Express Cook</v>
          </cell>
          <cell r="AH23" t="str">
            <v>B</v>
          </cell>
        </row>
      </sheetData>
      <sheetData sheetId="4">
        <row r="2">
          <cell r="B2" t="str">
            <v>NEPTUNE VX16</v>
          </cell>
          <cell r="C2">
            <v>8903287040290</v>
          </cell>
          <cell r="D2" t="str">
            <v>NEPTUNE VX16, DW, 62590</v>
          </cell>
          <cell r="E2" t="str">
            <v>DW</v>
          </cell>
          <cell r="F2" t="str">
            <v>DW</v>
          </cell>
          <cell r="G2" t="str">
            <v>https://www.ifbappliances.com/neptune-vx16</v>
          </cell>
          <cell r="H2">
            <v>62590</v>
          </cell>
          <cell r="I2">
            <v>60086.400000000001</v>
          </cell>
          <cell r="J2" t="str">
            <v>IFB</v>
          </cell>
          <cell r="K2">
            <v>16</v>
          </cell>
          <cell r="L2" t="str">
            <v>Free Standing</v>
          </cell>
          <cell r="M2">
            <v>49.5</v>
          </cell>
          <cell r="N2">
            <v>0.86</v>
          </cell>
          <cell r="O2">
            <v>9</v>
          </cell>
          <cell r="P2">
            <v>49</v>
          </cell>
          <cell r="Q2" t="str">
            <v>Iron</v>
          </cell>
          <cell r="R2" t="str">
            <v>360 Jet Wash</v>
          </cell>
          <cell r="S2" t="str">
            <v>Hot Water Wash</v>
          </cell>
          <cell r="T2" t="str">
            <v>Intelligent Sensor</v>
          </cell>
          <cell r="U2" t="str">
            <v>Auto Door Opening</v>
          </cell>
          <cell r="V2" t="str">
            <v>Active Anti-Microbial Filter</v>
          </cell>
          <cell r="W2" t="str">
            <v>In-Built Water Softening</v>
          </cell>
          <cell r="X2" t="str">
            <v>Self-Cleaning</v>
          </cell>
          <cell r="Y2" t="str">
            <v>Turbo Drying</v>
          </cell>
          <cell r="Z2" t="str">
            <v>Full Load</v>
          </cell>
          <cell r="AA2" t="str">
            <v>Flexi Half Load</v>
          </cell>
          <cell r="AB2" t="str">
            <v>Prewash</v>
          </cell>
          <cell r="AC2" t="str">
            <v>Light Soiled</v>
          </cell>
          <cell r="AD2" t="str">
            <v>Eco Wash</v>
          </cell>
          <cell r="AE2" t="str">
            <v>Easy Care 60</v>
          </cell>
          <cell r="AF2" t="str">
            <v>Auto Delicate</v>
          </cell>
          <cell r="AG2" t="str">
            <v>Auto Normal</v>
          </cell>
          <cell r="AH2" t="str">
            <v>Auto Intense</v>
          </cell>
          <cell r="AJ2" t="str">
            <v>Child Lock</v>
          </cell>
          <cell r="AK2" t="str">
            <v>Error Detection</v>
          </cell>
          <cell r="AL2" t="str">
            <v>Leakage Protection</v>
          </cell>
          <cell r="AM2" t="str">
            <v>Heater Protection</v>
          </cell>
          <cell r="AN2" t="str">
            <v>A++</v>
          </cell>
        </row>
        <row r="3">
          <cell r="B3" t="str">
            <v>Neptune VX2 Plus</v>
          </cell>
          <cell r="C3">
            <v>8903287002908</v>
          </cell>
          <cell r="D3" t="str">
            <v>NEPTUNE VX2 PLUS, DW, 62590</v>
          </cell>
          <cell r="E3" t="str">
            <v>DW</v>
          </cell>
          <cell r="F3" t="str">
            <v>DW</v>
          </cell>
          <cell r="G3" t="str">
            <v>https://www.ifbappliances.com/neptune-vx2-plus</v>
          </cell>
          <cell r="H3">
            <v>62590</v>
          </cell>
          <cell r="I3">
            <v>60086.400000000001</v>
          </cell>
          <cell r="J3" t="str">
            <v>IFB</v>
          </cell>
          <cell r="K3">
            <v>16</v>
          </cell>
          <cell r="L3" t="str">
            <v>Free Standing</v>
          </cell>
          <cell r="M3">
            <v>52.9</v>
          </cell>
          <cell r="N3">
            <v>0.873</v>
          </cell>
          <cell r="O3">
            <v>9</v>
          </cell>
          <cell r="P3">
            <v>49</v>
          </cell>
          <cell r="Q3" t="str">
            <v>Grey</v>
          </cell>
          <cell r="R3" t="str">
            <v>360 Jet Wash</v>
          </cell>
          <cell r="S3" t="str">
            <v>Hot Water Wash</v>
          </cell>
          <cell r="T3" t="str">
            <v>Intelligent Sensor</v>
          </cell>
          <cell r="U3" t="str">
            <v>Auto Door Opening</v>
          </cell>
          <cell r="V3" t="str">
            <v>Active Anti-Microbial Filter</v>
          </cell>
          <cell r="W3" t="str">
            <v>In-Built Water Softening</v>
          </cell>
          <cell r="X3" t="str">
            <v>Self-Cleaning</v>
          </cell>
          <cell r="Z3" t="str">
            <v>Full Load</v>
          </cell>
          <cell r="AA3" t="str">
            <v>Flexi Half Load</v>
          </cell>
          <cell r="AB3" t="str">
            <v>Prewash</v>
          </cell>
          <cell r="AC3" t="str">
            <v>Light Soiled</v>
          </cell>
          <cell r="AD3" t="str">
            <v>Eco Wash</v>
          </cell>
          <cell r="AE3" t="str">
            <v>Easy Care 60</v>
          </cell>
          <cell r="AF3" t="str">
            <v>Auto Delicate</v>
          </cell>
          <cell r="AG3" t="str">
            <v>Auto Normal</v>
          </cell>
          <cell r="AH3" t="str">
            <v>Auto Intense</v>
          </cell>
          <cell r="AJ3" t="str">
            <v>Child Lock</v>
          </cell>
          <cell r="AK3" t="str">
            <v>Error Detection</v>
          </cell>
          <cell r="AL3" t="str">
            <v>Leakage Protection</v>
          </cell>
          <cell r="AM3" t="str">
            <v>Heater Protection</v>
          </cell>
          <cell r="AN3" t="str">
            <v>A++</v>
          </cell>
        </row>
        <row r="4">
          <cell r="B4" t="str">
            <v>Neptune SX2</v>
          </cell>
          <cell r="C4">
            <v>8903287002915</v>
          </cell>
          <cell r="D4" t="str">
            <v>NEPTUNE SX2, DW, 65490</v>
          </cell>
          <cell r="E4" t="str">
            <v>DW</v>
          </cell>
          <cell r="F4" t="str">
            <v>DW</v>
          </cell>
          <cell r="G4" t="str">
            <v>https://www.ifbappliances.com/neptune-sx2</v>
          </cell>
          <cell r="H4">
            <v>65490</v>
          </cell>
          <cell r="I4">
            <v>62870.400000000001</v>
          </cell>
          <cell r="J4" t="str">
            <v>IFB</v>
          </cell>
          <cell r="K4">
            <v>16</v>
          </cell>
          <cell r="L4" t="str">
            <v>Free Standing</v>
          </cell>
          <cell r="M4">
            <v>49.9</v>
          </cell>
          <cell r="N4">
            <v>0.873</v>
          </cell>
          <cell r="O4">
            <v>9</v>
          </cell>
          <cell r="P4">
            <v>45</v>
          </cell>
          <cell r="Q4" t="str">
            <v>Grey</v>
          </cell>
          <cell r="R4" t="str">
            <v>360 Jet Wash</v>
          </cell>
          <cell r="S4" t="str">
            <v>Hot Water Wash</v>
          </cell>
          <cell r="T4" t="str">
            <v>Intelligent Sensor</v>
          </cell>
          <cell r="U4" t="str">
            <v>Auto Door Opening</v>
          </cell>
          <cell r="V4" t="str">
            <v>Active Anti-Microbial Filter</v>
          </cell>
          <cell r="W4" t="str">
            <v>In-Built Water Softening</v>
          </cell>
          <cell r="X4" t="str">
            <v>Self-Cleaning</v>
          </cell>
          <cell r="Z4" t="str">
            <v>Full Load</v>
          </cell>
          <cell r="AA4" t="str">
            <v>Flexi Half Load</v>
          </cell>
          <cell r="AB4" t="str">
            <v>Prewash</v>
          </cell>
          <cell r="AD4" t="str">
            <v>Eco Wash</v>
          </cell>
          <cell r="AF4" t="str">
            <v>Auto Delicate</v>
          </cell>
          <cell r="AG4" t="str">
            <v>Auto Normal</v>
          </cell>
          <cell r="AH4" t="str">
            <v>Auto Intense</v>
          </cell>
          <cell r="AI4" t="str">
            <v>Super 65</v>
          </cell>
          <cell r="AJ4" t="str">
            <v>Child Lock</v>
          </cell>
          <cell r="AK4" t="str">
            <v>Error Detection</v>
          </cell>
          <cell r="AL4" t="str">
            <v>Leakage Protection</v>
          </cell>
          <cell r="AM4" t="str">
            <v>Heater Protection</v>
          </cell>
          <cell r="AN4" t="str">
            <v>A++</v>
          </cell>
        </row>
        <row r="5">
          <cell r="B5" t="str">
            <v>Neptune BI2</v>
          </cell>
          <cell r="C5">
            <v>8903287002939</v>
          </cell>
          <cell r="D5" t="str">
            <v>NEPTUNE BI2 ( BUILT IN ), KA, 52990</v>
          </cell>
          <cell r="E5" t="str">
            <v>DW</v>
          </cell>
          <cell r="F5" t="str">
            <v>DW</v>
          </cell>
          <cell r="G5" t="str">
            <v>https://www.ifbappliances.com/neptune-bi2</v>
          </cell>
          <cell r="H5">
            <v>52990</v>
          </cell>
          <cell r="I5">
            <v>50340.5</v>
          </cell>
          <cell r="J5" t="str">
            <v>IFB</v>
          </cell>
          <cell r="K5">
            <v>14</v>
          </cell>
          <cell r="L5" t="str">
            <v>Built In</v>
          </cell>
          <cell r="M5">
            <v>38</v>
          </cell>
          <cell r="N5">
            <v>0.95</v>
          </cell>
          <cell r="O5">
            <v>9</v>
          </cell>
          <cell r="P5">
            <v>52</v>
          </cell>
          <cell r="Q5" t="str">
            <v>Choice</v>
          </cell>
          <cell r="R5" t="str">
            <v>360 Jet Wash</v>
          </cell>
          <cell r="S5" t="str">
            <v>Hot Water Wash</v>
          </cell>
          <cell r="T5" t="str">
            <v>Intelligent Sensor</v>
          </cell>
          <cell r="W5" t="str">
            <v>In-Built Water Softening</v>
          </cell>
          <cell r="Z5" t="str">
            <v>Full Load</v>
          </cell>
          <cell r="AA5" t="str">
            <v>Half Load</v>
          </cell>
          <cell r="AB5" t="str">
            <v>Prewash</v>
          </cell>
          <cell r="AD5" t="str">
            <v>Eco Wash</v>
          </cell>
          <cell r="AF5" t="str">
            <v>Auto Delicate</v>
          </cell>
          <cell r="AG5" t="str">
            <v>Auto Normal</v>
          </cell>
          <cell r="AH5" t="str">
            <v>Auto Intense</v>
          </cell>
          <cell r="AI5" t="str">
            <v>Super 65</v>
          </cell>
          <cell r="AJ5" t="str">
            <v>Child Lock</v>
          </cell>
          <cell r="AK5" t="str">
            <v>Error Detection</v>
          </cell>
          <cell r="AL5" t="str">
            <v>Leakage Protection</v>
          </cell>
          <cell r="AN5" t="str">
            <v>A+</v>
          </cell>
        </row>
      </sheetData>
      <sheetData sheetId="5">
        <row r="2">
          <cell r="B2" t="str">
            <v>IVS 7005 LR</v>
          </cell>
          <cell r="D2" t="str">
            <v>ST</v>
          </cell>
          <cell r="E2" t="str">
            <v>ST-RF</v>
          </cell>
          <cell r="F2" t="str">
            <v>https://www.ifbappliances.com/ivs-7005-lr</v>
          </cell>
          <cell r="G2">
            <v>3620</v>
          </cell>
          <cell r="H2">
            <v>3620</v>
          </cell>
          <cell r="I2" t="str">
            <v>IFB</v>
          </cell>
          <cell r="J2" t="str">
            <v>2 Amp</v>
          </cell>
          <cell r="K2" t="str">
            <v>RF</v>
          </cell>
          <cell r="M2" t="str">
            <v>Thermal Overload Protection</v>
          </cell>
          <cell r="N2" t="str">
            <v>High-Low Voltage Cutoff</v>
          </cell>
          <cell r="O2" t="str">
            <v>Widest Range</v>
          </cell>
          <cell r="U2" t="str">
            <v>C</v>
          </cell>
        </row>
        <row r="3">
          <cell r="B3" t="str">
            <v>IVS 9505 LR</v>
          </cell>
          <cell r="D3" t="str">
            <v>ST</v>
          </cell>
          <cell r="E3" t="str">
            <v>ST-RF</v>
          </cell>
          <cell r="F3" t="str">
            <v>https://www.ifbappliances.com/ivs-9505-lr</v>
          </cell>
          <cell r="G3">
            <v>3150</v>
          </cell>
          <cell r="H3">
            <v>3150</v>
          </cell>
          <cell r="I3" t="str">
            <v>IFB</v>
          </cell>
          <cell r="J3" t="str">
            <v>2 Amp</v>
          </cell>
          <cell r="K3" t="str">
            <v>RF</v>
          </cell>
          <cell r="M3" t="str">
            <v>Thermal Overload Protection</v>
          </cell>
          <cell r="O3" t="str">
            <v>Widest Range</v>
          </cell>
          <cell r="P3" t="str">
            <v>LED</v>
          </cell>
          <cell r="U3" t="str">
            <v>C</v>
          </cell>
        </row>
        <row r="4">
          <cell r="B4" t="str">
            <v>IVS 10005 R</v>
          </cell>
          <cell r="D4" t="str">
            <v>ST</v>
          </cell>
          <cell r="E4" t="str">
            <v>ST-RF</v>
          </cell>
          <cell r="F4" t="str">
            <v>https://www.ifbappliances.com/ivs-10005-r</v>
          </cell>
          <cell r="G4">
            <v>2600</v>
          </cell>
          <cell r="H4">
            <v>2600</v>
          </cell>
          <cell r="I4" t="str">
            <v>IFB</v>
          </cell>
          <cell r="J4" t="str">
            <v>3 Amp</v>
          </cell>
          <cell r="K4" t="str">
            <v>RF</v>
          </cell>
          <cell r="M4" t="str">
            <v>Thermal Overload Protection</v>
          </cell>
          <cell r="O4" t="str">
            <v>Widest Range</v>
          </cell>
          <cell r="P4" t="str">
            <v>LED</v>
          </cell>
          <cell r="U4" t="str">
            <v>C</v>
          </cell>
        </row>
        <row r="5">
          <cell r="B5" t="str">
            <v>IVS 13005 R</v>
          </cell>
          <cell r="D5" t="str">
            <v>ST</v>
          </cell>
          <cell r="E5" t="str">
            <v>ST-RF</v>
          </cell>
          <cell r="F5" t="str">
            <v>https://www.ifbappliances.com/ivs-13005-r</v>
          </cell>
          <cell r="G5">
            <v>2500</v>
          </cell>
          <cell r="H5">
            <v>2500</v>
          </cell>
          <cell r="I5" t="str">
            <v>IFB</v>
          </cell>
          <cell r="J5" t="str">
            <v>15 Amp</v>
          </cell>
          <cell r="K5" t="str">
            <v>RF</v>
          </cell>
          <cell r="L5" t="str">
            <v>0.5 Ton AC</v>
          </cell>
          <cell r="N5" t="str">
            <v>High-Low Voltage Cutoff</v>
          </cell>
          <cell r="O5" t="str">
            <v>Widest Range</v>
          </cell>
          <cell r="P5" t="str">
            <v>LED</v>
          </cell>
          <cell r="U5" t="str">
            <v>C</v>
          </cell>
        </row>
        <row r="6">
          <cell r="B6" t="str">
            <v>IVS 1455 WMT</v>
          </cell>
          <cell r="D6" t="str">
            <v>ST</v>
          </cell>
          <cell r="E6" t="str">
            <v>ST-WM</v>
          </cell>
          <cell r="F6" t="str">
            <v>https://www.ifbappliances.com/ivs-1455-wmt</v>
          </cell>
          <cell r="G6">
            <v>6350</v>
          </cell>
          <cell r="H6">
            <v>6350</v>
          </cell>
          <cell r="I6" t="str">
            <v>IFB</v>
          </cell>
          <cell r="J6" t="str">
            <v>15 Amp</v>
          </cell>
          <cell r="K6" t="str">
            <v>WM</v>
          </cell>
          <cell r="L6" t="str">
            <v>MW</v>
          </cell>
          <cell r="M6" t="str">
            <v>Thermal Overload Protection</v>
          </cell>
          <cell r="O6" t="str">
            <v>Widest Range</v>
          </cell>
          <cell r="P6" t="str">
            <v>LED</v>
          </cell>
          <cell r="U6" t="str">
            <v>C</v>
          </cell>
        </row>
        <row r="7">
          <cell r="B7" t="str">
            <v>IVS 1705 WMT</v>
          </cell>
          <cell r="D7" t="str">
            <v>ST</v>
          </cell>
          <cell r="E7" t="str">
            <v>ST-WM</v>
          </cell>
          <cell r="F7" t="str">
            <v>https://www.ifbappliances.com/ivs-1705-wmt</v>
          </cell>
          <cell r="G7">
            <v>4750</v>
          </cell>
          <cell r="H7">
            <v>4750</v>
          </cell>
          <cell r="I7" t="str">
            <v>IFB</v>
          </cell>
          <cell r="J7" t="str">
            <v>15 Amp</v>
          </cell>
          <cell r="K7" t="str">
            <v>WM</v>
          </cell>
          <cell r="L7" t="str">
            <v>MW</v>
          </cell>
          <cell r="O7" t="str">
            <v>Widest Range</v>
          </cell>
          <cell r="P7" t="str">
            <v>LED</v>
          </cell>
          <cell r="Q7" t="str">
            <v>Wall mount</v>
          </cell>
          <cell r="R7" t="str">
            <v>Digital micro-processor controlled circuit</v>
          </cell>
          <cell r="U7" t="str">
            <v>C</v>
          </cell>
        </row>
        <row r="8">
          <cell r="B8" t="str">
            <v>IVS 1405 WMT</v>
          </cell>
          <cell r="D8" t="str">
            <v>ST</v>
          </cell>
          <cell r="E8" t="str">
            <v>ST-WM</v>
          </cell>
          <cell r="F8" t="str">
            <v>https://www.ifbappliances.com/ivs-1405-wmt</v>
          </cell>
          <cell r="G8">
            <v>3500</v>
          </cell>
          <cell r="H8">
            <v>3500</v>
          </cell>
          <cell r="I8" t="str">
            <v>IFB</v>
          </cell>
          <cell r="J8" t="str">
            <v>15 Amp</v>
          </cell>
          <cell r="K8" t="str">
            <v>WM</v>
          </cell>
          <cell r="L8" t="str">
            <v>MW</v>
          </cell>
          <cell r="M8" t="str">
            <v>Thermal Overload Protection</v>
          </cell>
          <cell r="O8" t="str">
            <v>Widest Range</v>
          </cell>
          <cell r="P8" t="str">
            <v>LED</v>
          </cell>
          <cell r="U8" t="str">
            <v>C</v>
          </cell>
        </row>
        <row r="9">
          <cell r="B9" t="str">
            <v>IVS 1605 WMT</v>
          </cell>
          <cell r="D9" t="str">
            <v>ST</v>
          </cell>
          <cell r="E9" t="str">
            <v>ST-WM</v>
          </cell>
          <cell r="F9" t="str">
            <v>https://www.ifbappliances.com/ivs-1605-wmt</v>
          </cell>
          <cell r="G9">
            <v>3250</v>
          </cell>
          <cell r="H9">
            <v>3250</v>
          </cell>
          <cell r="I9" t="str">
            <v>IFB</v>
          </cell>
          <cell r="J9" t="str">
            <v>15 Amp</v>
          </cell>
          <cell r="K9" t="str">
            <v>WM</v>
          </cell>
          <cell r="L9" t="str">
            <v>MW</v>
          </cell>
          <cell r="O9" t="str">
            <v>Widest Range</v>
          </cell>
          <cell r="P9" t="str">
            <v>LED</v>
          </cell>
          <cell r="Q9" t="str">
            <v>Wall mount</v>
          </cell>
          <cell r="R9" t="str">
            <v>Digital micro-processor controlled circuit</v>
          </cell>
          <cell r="U9" t="str">
            <v>C</v>
          </cell>
        </row>
        <row r="10">
          <cell r="B10" t="str">
            <v>IVS 515 WMT</v>
          </cell>
          <cell r="D10" t="str">
            <v>ST</v>
          </cell>
          <cell r="E10" t="str">
            <v>ST-WM</v>
          </cell>
          <cell r="F10" t="str">
            <v>https://www.ifbappliances.com/ivs-515-wmt</v>
          </cell>
          <cell r="G10">
            <v>3250</v>
          </cell>
          <cell r="H10">
            <v>3250</v>
          </cell>
          <cell r="I10" t="str">
            <v>IFB</v>
          </cell>
          <cell r="J10" t="str">
            <v>15 Amp</v>
          </cell>
          <cell r="K10" t="str">
            <v>WM</v>
          </cell>
          <cell r="L10" t="str">
            <v>MW</v>
          </cell>
          <cell r="P10" t="str">
            <v>LED</v>
          </cell>
          <cell r="Q10" t="str">
            <v>Wall mount</v>
          </cell>
          <cell r="U10" t="str">
            <v>C</v>
          </cell>
        </row>
        <row r="11">
          <cell r="B11" t="str">
            <v>IVS 410 LA</v>
          </cell>
          <cell r="D11" t="str">
            <v>ST</v>
          </cell>
          <cell r="E11" t="str">
            <v>ST-AC</v>
          </cell>
          <cell r="F11" t="str">
            <v>https://www.ifbappliances.com/ivs-410-la</v>
          </cell>
          <cell r="G11">
            <v>2930</v>
          </cell>
          <cell r="H11">
            <v>2930</v>
          </cell>
          <cell r="I11" t="str">
            <v>IFB</v>
          </cell>
          <cell r="J11" t="str">
            <v>12 Amp</v>
          </cell>
          <cell r="K11" t="str">
            <v>1.5 Ton AC</v>
          </cell>
          <cell r="N11" t="str">
            <v>High-Low Voltage Cutoff</v>
          </cell>
          <cell r="P11" t="str">
            <v>LED</v>
          </cell>
          <cell r="S11" t="str">
            <v>NTC Protection</v>
          </cell>
          <cell r="U11" t="str">
            <v>C</v>
          </cell>
        </row>
        <row r="12">
          <cell r="B12" t="str">
            <v>IVS 405 DLA</v>
          </cell>
          <cell r="D12" t="str">
            <v>ST</v>
          </cell>
          <cell r="E12" t="str">
            <v>ST-AC</v>
          </cell>
          <cell r="F12" t="str">
            <v>https://www.ifbappliances.com/ivs-405-dla</v>
          </cell>
          <cell r="G12">
            <v>2750</v>
          </cell>
          <cell r="H12">
            <v>2750</v>
          </cell>
          <cell r="I12" t="str">
            <v>IFB</v>
          </cell>
          <cell r="J12" t="str">
            <v>12 Amp</v>
          </cell>
          <cell r="K12" t="str">
            <v>1.5 Ton AC</v>
          </cell>
          <cell r="N12" t="str">
            <v>High-Low Voltage Cutoff</v>
          </cell>
          <cell r="Q12" t="str">
            <v>Wall mount</v>
          </cell>
          <cell r="S12" t="str">
            <v>NTC Protection</v>
          </cell>
          <cell r="U12" t="str">
            <v>C</v>
          </cell>
        </row>
        <row r="13">
          <cell r="B13" t="str">
            <v>IVS 405 SLA</v>
          </cell>
          <cell r="D13" t="str">
            <v>ST</v>
          </cell>
          <cell r="E13" t="str">
            <v>ST-AC</v>
          </cell>
          <cell r="F13" t="str">
            <v>https://www.ifbappliances.com/ivs-405-sla</v>
          </cell>
          <cell r="G13">
            <v>2750</v>
          </cell>
          <cell r="H13">
            <v>2750</v>
          </cell>
          <cell r="I13" t="str">
            <v>IFB</v>
          </cell>
          <cell r="J13" t="str">
            <v>12 Amp</v>
          </cell>
          <cell r="K13" t="str">
            <v>1.5 Ton AC</v>
          </cell>
          <cell r="N13" t="str">
            <v>High-Low Voltage Cutoff</v>
          </cell>
          <cell r="S13" t="str">
            <v>NTC Protection</v>
          </cell>
          <cell r="U13" t="str">
            <v>C</v>
          </cell>
        </row>
        <row r="14">
          <cell r="B14" t="str">
            <v>IVS 29045 ML</v>
          </cell>
          <cell r="D14" t="str">
            <v>ST</v>
          </cell>
          <cell r="E14" t="str">
            <v>ST-Mainline</v>
          </cell>
          <cell r="F14" t="str">
            <v>https://www.ifbappliances.com/ivs-510050-ml-1</v>
          </cell>
          <cell r="G14">
            <v>7200</v>
          </cell>
          <cell r="H14">
            <v>7200</v>
          </cell>
          <cell r="I14" t="str">
            <v>IFB</v>
          </cell>
          <cell r="J14" t="str">
            <v>6 Amp</v>
          </cell>
          <cell r="K14" t="str">
            <v>25 Amp Mainline</v>
          </cell>
          <cell r="N14" t="str">
            <v>High-Low Voltage Cutoff</v>
          </cell>
          <cell r="O14" t="str">
            <v>Widest Range</v>
          </cell>
          <cell r="P14" t="str">
            <v>LED</v>
          </cell>
          <cell r="U14" t="str">
            <v>C</v>
          </cell>
        </row>
        <row r="15">
          <cell r="B15" t="str">
            <v>IVS 1010050 ML</v>
          </cell>
          <cell r="D15" t="str">
            <v>ST</v>
          </cell>
          <cell r="E15" t="str">
            <v>ST-Mainline</v>
          </cell>
          <cell r="F15" t="str">
            <v>https://www.ifbappliances.com/ivs-1010050-ml</v>
          </cell>
          <cell r="G15">
            <v>21500</v>
          </cell>
          <cell r="H15">
            <v>21500</v>
          </cell>
          <cell r="I15" t="str">
            <v>IFB</v>
          </cell>
          <cell r="J15" t="str">
            <v>25 Amp</v>
          </cell>
          <cell r="K15" t="str">
            <v>25 Amp Mainline</v>
          </cell>
          <cell r="O15" t="str">
            <v>Widest Range</v>
          </cell>
          <cell r="P15" t="str">
            <v>LED</v>
          </cell>
          <cell r="T15" t="str">
            <v>Bypass MCB</v>
          </cell>
          <cell r="U15" t="str">
            <v>A++</v>
          </cell>
        </row>
        <row r="16">
          <cell r="B16" t="str">
            <v>IVS 510050 ML</v>
          </cell>
          <cell r="D16" t="str">
            <v>ST</v>
          </cell>
          <cell r="E16" t="str">
            <v>ST-Mainline</v>
          </cell>
          <cell r="F16" t="str">
            <v>https://www.ifbappliances.com/ivs-510050-ml</v>
          </cell>
          <cell r="G16">
            <v>13800</v>
          </cell>
          <cell r="H16">
            <v>13800</v>
          </cell>
          <cell r="I16" t="str">
            <v>IFB</v>
          </cell>
          <cell r="J16" t="str">
            <v>15 Amp</v>
          </cell>
          <cell r="K16" t="str">
            <v>25 Amp Mainline</v>
          </cell>
          <cell r="N16" t="str">
            <v>High-Low Voltage Cutoff</v>
          </cell>
          <cell r="S16" t="str">
            <v>NTC Protection</v>
          </cell>
          <cell r="U16" t="str">
            <v>C</v>
          </cell>
        </row>
        <row r="17">
          <cell r="B17" t="str">
            <v>IVS 955A</v>
          </cell>
          <cell r="D17" t="str">
            <v>ST</v>
          </cell>
          <cell r="E17" t="str">
            <v>ST-AC</v>
          </cell>
          <cell r="F17" t="str">
            <v>https://www.ifbappliances.com/ivs955a</v>
          </cell>
          <cell r="G17">
            <v>10800</v>
          </cell>
          <cell r="H17">
            <v>10800</v>
          </cell>
          <cell r="I17" t="str">
            <v>IFB</v>
          </cell>
          <cell r="J17" t="str">
            <v>15 Amp</v>
          </cell>
          <cell r="K17" t="str">
            <v>2 Ton AC</v>
          </cell>
          <cell r="N17" t="str">
            <v>High-Low Voltage Cutoff</v>
          </cell>
          <cell r="P17" t="str">
            <v>LED</v>
          </cell>
          <cell r="U17" t="str">
            <v>C</v>
          </cell>
        </row>
        <row r="18">
          <cell r="B18" t="str">
            <v>IVS 1455A</v>
          </cell>
          <cell r="D18" t="str">
            <v>ST</v>
          </cell>
          <cell r="E18" t="str">
            <v>ST-AC</v>
          </cell>
          <cell r="F18" t="str">
            <v>https://www.ifbappliances.com/ivs1455a</v>
          </cell>
          <cell r="G18">
            <v>6350</v>
          </cell>
          <cell r="H18">
            <v>6350</v>
          </cell>
          <cell r="I18" t="str">
            <v>IFB</v>
          </cell>
          <cell r="J18" t="str">
            <v>15 Amp</v>
          </cell>
          <cell r="K18" t="str">
            <v>2 Ton AC</v>
          </cell>
          <cell r="O18" t="str">
            <v>Widest Range</v>
          </cell>
          <cell r="Q18" t="str">
            <v>Wall mount</v>
          </cell>
          <cell r="U18" t="str">
            <v>C</v>
          </cell>
        </row>
        <row r="19">
          <cell r="B19" t="str">
            <v>IVS 1705A</v>
          </cell>
          <cell r="D19" t="str">
            <v>ST</v>
          </cell>
          <cell r="E19" t="str">
            <v>ST-AC</v>
          </cell>
          <cell r="F19" t="str">
            <v>https://www.ifbappliances.com/ivs1705a</v>
          </cell>
          <cell r="G19">
            <v>4750</v>
          </cell>
          <cell r="H19">
            <v>4750</v>
          </cell>
          <cell r="I19" t="str">
            <v>IFB</v>
          </cell>
          <cell r="J19" t="str">
            <v>15 Amp</v>
          </cell>
          <cell r="K19" t="str">
            <v>2 Ton AC</v>
          </cell>
          <cell r="P19" t="str">
            <v>LED</v>
          </cell>
          <cell r="R19" t="str">
            <v>Digital micro-processor controlled circuit</v>
          </cell>
          <cell r="U19" t="str">
            <v>C</v>
          </cell>
        </row>
        <row r="20">
          <cell r="B20" t="str">
            <v>IVS 1805A</v>
          </cell>
          <cell r="D20" t="str">
            <v>ST</v>
          </cell>
          <cell r="E20" t="str">
            <v>ST-AC</v>
          </cell>
          <cell r="F20" t="str">
            <v>https://www.ifbappliances.com/ivs1805a</v>
          </cell>
          <cell r="G20">
            <v>3600</v>
          </cell>
          <cell r="H20">
            <v>3600</v>
          </cell>
          <cell r="I20" t="str">
            <v>IFB</v>
          </cell>
          <cell r="J20" t="str">
            <v>15 Amp</v>
          </cell>
          <cell r="K20" t="str">
            <v>2 Ton AC</v>
          </cell>
          <cell r="M20" t="str">
            <v>Thermal Overload Protection</v>
          </cell>
          <cell r="P20" t="str">
            <v>LED</v>
          </cell>
          <cell r="U20" t="str">
            <v>C</v>
          </cell>
        </row>
        <row r="21">
          <cell r="B21" t="str">
            <v>IVS 954A</v>
          </cell>
          <cell r="D21" t="str">
            <v>ST</v>
          </cell>
          <cell r="E21" t="str">
            <v>ST-AC</v>
          </cell>
          <cell r="F21" t="str">
            <v>https://www.ifbappliances.com/ivs954a</v>
          </cell>
          <cell r="G21">
            <v>9700</v>
          </cell>
          <cell r="H21">
            <v>9700</v>
          </cell>
          <cell r="I21" t="str">
            <v>IFB</v>
          </cell>
          <cell r="J21" t="str">
            <v>12 Amp</v>
          </cell>
          <cell r="K21" t="str">
            <v>1.5 Ton AC</v>
          </cell>
          <cell r="M21" t="str">
            <v>Thermal Overload Protection</v>
          </cell>
          <cell r="P21" t="str">
            <v>LED</v>
          </cell>
          <cell r="U21" t="str">
            <v>C</v>
          </cell>
        </row>
        <row r="22">
          <cell r="B22" t="str">
            <v>IVS 1454A</v>
          </cell>
          <cell r="D22" t="str">
            <v>ST</v>
          </cell>
          <cell r="E22" t="str">
            <v>ST-AC</v>
          </cell>
          <cell r="F22" t="str">
            <v>https://www.ifbappliances.com/ivs1454a</v>
          </cell>
          <cell r="G22">
            <v>5650</v>
          </cell>
          <cell r="H22">
            <v>5650</v>
          </cell>
          <cell r="I22" t="str">
            <v>IFB</v>
          </cell>
          <cell r="J22" t="str">
            <v>12 Amp</v>
          </cell>
          <cell r="K22" t="str">
            <v>1.5 Ton AC</v>
          </cell>
          <cell r="O22" t="str">
            <v>Widest Range</v>
          </cell>
          <cell r="P22" t="str">
            <v>LED</v>
          </cell>
          <cell r="U22" t="str">
            <v>C</v>
          </cell>
        </row>
        <row r="23">
          <cell r="B23" t="str">
            <v>IVS 1704A</v>
          </cell>
          <cell r="D23" t="str">
            <v>ST</v>
          </cell>
          <cell r="E23" t="str">
            <v>ST-AC</v>
          </cell>
          <cell r="F23" t="str">
            <v>https://www.ifbappliances.com/ivs1704a</v>
          </cell>
          <cell r="G23">
            <v>4250</v>
          </cell>
          <cell r="H23">
            <v>4250</v>
          </cell>
          <cell r="I23" t="str">
            <v>IFB</v>
          </cell>
          <cell r="J23" t="str">
            <v>12 Amp</v>
          </cell>
          <cell r="K23" t="str">
            <v>1.5 Ton AC</v>
          </cell>
          <cell r="M23" t="str">
            <v>Thermal Overload Protection</v>
          </cell>
          <cell r="N23" t="str">
            <v>High-Low Voltage Cutoff</v>
          </cell>
          <cell r="P23" t="str">
            <v>LED</v>
          </cell>
          <cell r="Q23" t="str">
            <v>Wall mount</v>
          </cell>
          <cell r="U23" t="str">
            <v>C</v>
          </cell>
        </row>
        <row r="24">
          <cell r="B24" t="str">
            <v>IVS 1804A</v>
          </cell>
          <cell r="D24" t="str">
            <v>ST</v>
          </cell>
          <cell r="E24" t="str">
            <v>ST-AC</v>
          </cell>
          <cell r="F24" t="str">
            <v>https://www.ifbappliances.com/ivs1804a</v>
          </cell>
          <cell r="G24">
            <v>3100</v>
          </cell>
          <cell r="H24">
            <v>3100</v>
          </cell>
          <cell r="I24" t="str">
            <v>IFB</v>
          </cell>
          <cell r="J24" t="str">
            <v>12 Amp</v>
          </cell>
          <cell r="K24" t="str">
            <v>1.5 Ton AC</v>
          </cell>
          <cell r="N24" t="str">
            <v>High-Low Voltage Cutoff</v>
          </cell>
          <cell r="P24" t="str">
            <v>LED</v>
          </cell>
          <cell r="U24" t="str">
            <v>C</v>
          </cell>
        </row>
      </sheetData>
      <sheetData sheetId="6">
        <row r="2">
          <cell r="B2" t="str">
            <v>CI1832A223GM1</v>
          </cell>
          <cell r="E2" t="str">
            <v>AC</v>
          </cell>
          <cell r="F2" t="str">
            <v>AC</v>
          </cell>
          <cell r="G2" t="str">
            <v>https://www.ifbappliances.com/ci1832a223gm1</v>
          </cell>
          <cell r="H2">
            <v>62990</v>
          </cell>
          <cell r="J2">
            <v>51651.8</v>
          </cell>
          <cell r="K2" t="str">
            <v>IFB</v>
          </cell>
          <cell r="L2">
            <v>2</v>
          </cell>
          <cell r="M2">
            <v>3</v>
          </cell>
          <cell r="N2" t="str">
            <v>Ivory</v>
          </cell>
          <cell r="O2" t="str">
            <v>WiFi</v>
          </cell>
          <cell r="P2" t="str">
            <v>8in1</v>
          </cell>
          <cell r="Q2" t="str">
            <v>Filter Clean Indicator</v>
          </cell>
          <cell r="R2" t="str">
            <v>HD Compressor</v>
          </cell>
          <cell r="S2" t="str">
            <v>Dual Goldfin Heat Exchanger</v>
          </cell>
          <cell r="T2" t="str">
            <v>Nano-Tek Coating</v>
          </cell>
          <cell r="U2" t="str">
            <v>Fireproof ECB</v>
          </cell>
          <cell r="V2" t="str">
            <v>Copper Piping</v>
          </cell>
          <cell r="W2" t="str">
            <v>Air Cooled PCB</v>
          </cell>
          <cell r="X2" t="str">
            <v>Automotive Grade Coating on ODU</v>
          </cell>
          <cell r="AA2" t="str">
            <v>Aerodynamic Blower</v>
          </cell>
          <cell r="AB2" t="str">
            <v>Airflower Direction</v>
          </cell>
          <cell r="AC2" t="str">
            <v>Dust Filter</v>
          </cell>
          <cell r="AD2" t="str">
            <v>Aroma Diffuser</v>
          </cell>
          <cell r="AJ2" t="str">
            <v>Turbo Mode</v>
          </cell>
          <cell r="AK2" t="str">
            <v>Feel Mode</v>
          </cell>
          <cell r="AL2" t="str">
            <v>Cool Mode</v>
          </cell>
          <cell r="AM2" t="str">
            <v>Dry Mode</v>
          </cell>
          <cell r="AN2" t="str">
            <v>Fan Mode</v>
          </cell>
          <cell r="AP2" t="str">
            <v>Sleep Mode</v>
          </cell>
          <cell r="AQ2" t="str">
            <v>Eco Mode</v>
          </cell>
          <cell r="AR2" t="str">
            <v>LED</v>
          </cell>
          <cell r="AS2" t="str">
            <v>A</v>
          </cell>
        </row>
        <row r="3">
          <cell r="B3" t="str">
            <v>CI2433A323G3</v>
          </cell>
          <cell r="C3">
            <v>8903287201127</v>
          </cell>
          <cell r="D3" t="str">
            <v>SPLIT AC 2.0 T CI2433A323G3-IDU, ACMIU, 62990</v>
          </cell>
          <cell r="E3" t="str">
            <v>AC</v>
          </cell>
          <cell r="F3" t="str">
            <v>AC</v>
          </cell>
          <cell r="G3" t="str">
            <v>https://www.ifbappliances.com/ci2433a323g3</v>
          </cell>
          <cell r="H3">
            <v>62990</v>
          </cell>
          <cell r="I3">
            <v>62990</v>
          </cell>
          <cell r="J3">
            <v>53541.5</v>
          </cell>
          <cell r="K3" t="str">
            <v>IFB</v>
          </cell>
          <cell r="L3">
            <v>2</v>
          </cell>
          <cell r="M3">
            <v>3</v>
          </cell>
          <cell r="N3" t="str">
            <v>Ivory</v>
          </cell>
          <cell r="O3" t="str">
            <v>WiFi</v>
          </cell>
          <cell r="P3" t="str">
            <v>8in1</v>
          </cell>
          <cell r="Q3" t="str">
            <v>Filter Clean Indicator</v>
          </cell>
          <cell r="S3" t="str">
            <v>Dual Goldfin Heat Exchanger</v>
          </cell>
          <cell r="T3" t="str">
            <v>Nano-Tek Coating</v>
          </cell>
          <cell r="U3" t="str">
            <v>Fireproof ECB</v>
          </cell>
          <cell r="V3" t="str">
            <v>Copper Piping</v>
          </cell>
          <cell r="W3" t="str">
            <v>Air Cooled PCB</v>
          </cell>
          <cell r="X3" t="str">
            <v>Automotive Grade Coating on ODU</v>
          </cell>
          <cell r="Z3" t="str">
            <v>Smart AC</v>
          </cell>
          <cell r="AA3" t="str">
            <v>Aerodynamic Blower</v>
          </cell>
          <cell r="AB3" t="str">
            <v>Airflower Direction</v>
          </cell>
          <cell r="AC3" t="str">
            <v>Dust Filter</v>
          </cell>
          <cell r="AD3" t="str">
            <v>Aroma Diffuser</v>
          </cell>
          <cell r="AE3" t="str">
            <v>Activated-carbon Filter</v>
          </cell>
          <cell r="AF3" t="str">
            <v>PM 0.3 Filter</v>
          </cell>
          <cell r="AJ3" t="str">
            <v>Turbo Mode</v>
          </cell>
          <cell r="AK3" t="str">
            <v>Feel Mode</v>
          </cell>
          <cell r="AL3" t="str">
            <v>Cool Mode</v>
          </cell>
          <cell r="AM3" t="str">
            <v>Dry Mode</v>
          </cell>
          <cell r="AN3" t="str">
            <v>Fan Mode</v>
          </cell>
          <cell r="AP3" t="str">
            <v>Sleep Mode</v>
          </cell>
          <cell r="AQ3" t="str">
            <v>Eco Mode</v>
          </cell>
          <cell r="AR3" t="str">
            <v>LED</v>
          </cell>
          <cell r="AS3" t="str">
            <v>A</v>
          </cell>
        </row>
        <row r="4">
          <cell r="B4" t="str">
            <v>CI1852D223GN1</v>
          </cell>
          <cell r="C4">
            <v>8903287206719</v>
          </cell>
          <cell r="D4" t="str">
            <v>SPLIT AC 1.5T CI1852D223GN1-IDU, ACMIU, 71990</v>
          </cell>
          <cell r="E4" t="str">
            <v>AC</v>
          </cell>
          <cell r="F4" t="str">
            <v>AC</v>
          </cell>
          <cell r="G4" t="str">
            <v>https://www.ifbappliances.com/ci1852d223gn1</v>
          </cell>
          <cell r="H4">
            <v>71990</v>
          </cell>
          <cell r="I4">
            <v>71990</v>
          </cell>
          <cell r="J4">
            <v>43194</v>
          </cell>
          <cell r="K4" t="str">
            <v>IFB</v>
          </cell>
          <cell r="L4">
            <v>1.5</v>
          </cell>
          <cell r="M4">
            <v>5</v>
          </cell>
          <cell r="N4" t="str">
            <v>Ivory</v>
          </cell>
          <cell r="O4" t="str">
            <v>WiFi</v>
          </cell>
          <cell r="P4" t="str">
            <v>8in1</v>
          </cell>
          <cell r="Q4" t="str">
            <v>Filter Clean Indicator</v>
          </cell>
          <cell r="R4" t="str">
            <v>HD Compressor</v>
          </cell>
          <cell r="S4" t="str">
            <v>Dual Goldfin Heat Exchanger</v>
          </cell>
          <cell r="T4" t="str">
            <v>Nano-Tek Coating</v>
          </cell>
          <cell r="U4" t="str">
            <v>Fireproof ECB</v>
          </cell>
          <cell r="V4" t="str">
            <v>Copper Piping</v>
          </cell>
          <cell r="W4" t="str">
            <v>Air Cooled PCB</v>
          </cell>
          <cell r="X4" t="str">
            <v>Automotive Grade Coating on ODU</v>
          </cell>
          <cell r="AA4" t="str">
            <v>Aerodynamic Blower</v>
          </cell>
          <cell r="AB4" t="str">
            <v>Airflower Direction</v>
          </cell>
          <cell r="AC4" t="str">
            <v>Dust Filter</v>
          </cell>
          <cell r="AD4" t="str">
            <v>Aroma Diffuser</v>
          </cell>
          <cell r="AJ4" t="str">
            <v>Turbo Mode</v>
          </cell>
          <cell r="AK4" t="str">
            <v>Feel Mode</v>
          </cell>
          <cell r="AL4" t="str">
            <v>Cool Mode</v>
          </cell>
          <cell r="AM4" t="str">
            <v>Dry Mode</v>
          </cell>
          <cell r="AN4" t="str">
            <v>Fan Mode</v>
          </cell>
          <cell r="AP4" t="str">
            <v>Sleep Mode</v>
          </cell>
          <cell r="AQ4" t="str">
            <v>Eco Mode</v>
          </cell>
          <cell r="AS4" t="str">
            <v>A+</v>
          </cell>
        </row>
        <row r="5">
          <cell r="B5" t="str">
            <v>CI1831G223GM1</v>
          </cell>
          <cell r="E5" t="str">
            <v>AC</v>
          </cell>
          <cell r="F5" t="str">
            <v>AC</v>
          </cell>
          <cell r="G5" t="str">
            <v>https://www.ifbappliances.com/ci1831g223gm1</v>
          </cell>
          <cell r="H5">
            <v>63490</v>
          </cell>
          <cell r="J5">
            <v>52061.8</v>
          </cell>
          <cell r="K5" t="str">
            <v>IFB</v>
          </cell>
          <cell r="L5">
            <v>1.5</v>
          </cell>
          <cell r="M5">
            <v>3</v>
          </cell>
          <cell r="N5" t="str">
            <v>Ivory</v>
          </cell>
          <cell r="O5" t="str">
            <v>WiFi</v>
          </cell>
          <cell r="P5" t="str">
            <v>8in1</v>
          </cell>
          <cell r="Q5" t="str">
            <v>Filter Clean Indicator</v>
          </cell>
          <cell r="R5" t="str">
            <v>HD Compressor</v>
          </cell>
          <cell r="S5" t="str">
            <v>Dual Goldfin Heat Exchanger</v>
          </cell>
          <cell r="T5" t="str">
            <v>Nano-Tek Coating</v>
          </cell>
          <cell r="U5" t="str">
            <v>Fireproof ECB</v>
          </cell>
          <cell r="V5" t="str">
            <v>Copper Piping</v>
          </cell>
          <cell r="W5" t="str">
            <v>Air Cooled PCB</v>
          </cell>
          <cell r="X5" t="str">
            <v>Automotive Grade Coating on ODU</v>
          </cell>
          <cell r="Y5" t="str">
            <v>7 Stage Air Treatment</v>
          </cell>
          <cell r="AA5" t="str">
            <v>Aerodynamic Blower</v>
          </cell>
          <cell r="AB5" t="str">
            <v>Airflower Direction</v>
          </cell>
          <cell r="AC5" t="str">
            <v>Dust Filter</v>
          </cell>
          <cell r="AD5" t="str">
            <v>Aroma Diffuser</v>
          </cell>
          <cell r="AE5" t="str">
            <v>Activated-carbon Filter</v>
          </cell>
          <cell r="AF5" t="str">
            <v>PM 0.3 Filter</v>
          </cell>
          <cell r="AG5" t="str">
            <v>Anti-bacterial Filter</v>
          </cell>
          <cell r="AH5" t="str">
            <v>Catechin Filter</v>
          </cell>
          <cell r="AI5" t="str">
            <v>Vitamin-C Diffuser</v>
          </cell>
          <cell r="AJ5" t="str">
            <v>Turbo Mode</v>
          </cell>
          <cell r="AK5" t="str">
            <v>Feel Mode</v>
          </cell>
          <cell r="AL5" t="str">
            <v>Cool Mode</v>
          </cell>
          <cell r="AM5" t="str">
            <v>Dry Mode</v>
          </cell>
          <cell r="AN5" t="str">
            <v>Fan Mode</v>
          </cell>
          <cell r="AP5" t="str">
            <v>Sleep Mode</v>
          </cell>
          <cell r="AQ5" t="str">
            <v>Eco Mode</v>
          </cell>
          <cell r="AR5" t="str">
            <v>LED</v>
          </cell>
          <cell r="AS5" t="str">
            <v>A</v>
          </cell>
        </row>
        <row r="6">
          <cell r="B6" t="str">
            <v>CI1853E223GN1</v>
          </cell>
          <cell r="C6">
            <v>8903287207037</v>
          </cell>
          <cell r="D6" t="str">
            <v>SPLIT AC 1.5 T 5S CI1853E223GN1  - IDU, ACMIU, 22490</v>
          </cell>
          <cell r="E6" t="str">
            <v>AC</v>
          </cell>
          <cell r="F6" t="str">
            <v>AC</v>
          </cell>
          <cell r="G6" t="str">
            <v>https://www.ifbappliances.com/ci1853e223gn1</v>
          </cell>
          <cell r="H6">
            <v>74990</v>
          </cell>
          <cell r="I6">
            <v>22490</v>
          </cell>
          <cell r="J6">
            <v>44994</v>
          </cell>
          <cell r="K6" t="str">
            <v>IFB</v>
          </cell>
          <cell r="L6">
            <v>1.5</v>
          </cell>
          <cell r="M6">
            <v>5</v>
          </cell>
          <cell r="N6" t="str">
            <v>Ivory</v>
          </cell>
          <cell r="O6" t="str">
            <v>WiFi</v>
          </cell>
          <cell r="P6" t="str">
            <v>8in1</v>
          </cell>
          <cell r="Q6" t="str">
            <v>Filter Clean Indicator</v>
          </cell>
          <cell r="R6" t="str">
            <v>HD Compressor</v>
          </cell>
          <cell r="S6" t="str">
            <v>Dual Goldfin Heat Exchanger</v>
          </cell>
          <cell r="T6" t="str">
            <v>Nano-Tek Coating</v>
          </cell>
          <cell r="U6" t="str">
            <v>Fireproof ECB</v>
          </cell>
          <cell r="V6" t="str">
            <v>Copper Piping</v>
          </cell>
          <cell r="W6" t="str">
            <v>Air Cooled PCB</v>
          </cell>
          <cell r="X6" t="str">
            <v>Automotive Grade Coating on ODU</v>
          </cell>
          <cell r="Z6" t="str">
            <v>Smart AC</v>
          </cell>
          <cell r="AA6" t="str">
            <v>Aerodynamic Blower</v>
          </cell>
          <cell r="AB6" t="str">
            <v>Airflower Direction</v>
          </cell>
          <cell r="AC6" t="str">
            <v>Dust Filter</v>
          </cell>
          <cell r="AD6" t="str">
            <v>Aroma Diffuser</v>
          </cell>
          <cell r="AJ6" t="str">
            <v>Turbo Mode</v>
          </cell>
          <cell r="AK6" t="str">
            <v>Feel Mode</v>
          </cell>
          <cell r="AL6" t="str">
            <v>Cool Mode</v>
          </cell>
          <cell r="AM6" t="str">
            <v>Dry Mode</v>
          </cell>
          <cell r="AN6" t="str">
            <v>Fan Mode</v>
          </cell>
          <cell r="AP6" t="str">
            <v>Sleep Mode</v>
          </cell>
          <cell r="AQ6" t="str">
            <v>Eco Mode</v>
          </cell>
          <cell r="AS6" t="str">
            <v>A+</v>
          </cell>
        </row>
        <row r="7">
          <cell r="B7" t="str">
            <v>CI2432D323G3</v>
          </cell>
          <cell r="C7">
            <v>8903287200984</v>
          </cell>
          <cell r="D7" t="str">
            <v>SPLIT AC 2.0 T CI2432D323G3-IDU, ACMIU, 62990</v>
          </cell>
          <cell r="E7" t="str">
            <v>AC</v>
          </cell>
          <cell r="F7" t="str">
            <v>AC</v>
          </cell>
          <cell r="G7" t="str">
            <v>https://www.ifbappliances.com/ci2432d323g3</v>
          </cell>
          <cell r="H7">
            <v>62990</v>
          </cell>
          <cell r="I7">
            <v>62990</v>
          </cell>
          <cell r="J7">
            <v>53541.5</v>
          </cell>
          <cell r="K7" t="str">
            <v>IFB</v>
          </cell>
          <cell r="L7">
            <v>2</v>
          </cell>
          <cell r="M7">
            <v>3</v>
          </cell>
          <cell r="N7" t="str">
            <v>Ivory</v>
          </cell>
          <cell r="O7" t="str">
            <v>WiFi</v>
          </cell>
          <cell r="P7" t="str">
            <v>8in1</v>
          </cell>
          <cell r="Q7" t="str">
            <v>Filter Clean Indicator</v>
          </cell>
          <cell r="S7" t="str">
            <v>Dual Goldfin Heat Exchanger</v>
          </cell>
          <cell r="T7" t="str">
            <v>Nano-Tek Coating</v>
          </cell>
          <cell r="U7" t="str">
            <v>Fireproof ECB</v>
          </cell>
          <cell r="V7" t="str">
            <v>Copper Piping</v>
          </cell>
          <cell r="W7" t="str">
            <v>Air Cooled PCB</v>
          </cell>
          <cell r="X7" t="str">
            <v>Automotive Grade Coating on ODU</v>
          </cell>
          <cell r="Z7" t="str">
            <v>Smart AC</v>
          </cell>
          <cell r="AA7" t="str">
            <v>Aerodynamic Blower</v>
          </cell>
          <cell r="AB7" t="str">
            <v>Airflower Direction</v>
          </cell>
          <cell r="AC7" t="str">
            <v>Dust Filter</v>
          </cell>
          <cell r="AD7" t="str">
            <v>Aroma Diffuser</v>
          </cell>
          <cell r="AE7" t="str">
            <v>Activated-carbon Filter</v>
          </cell>
          <cell r="AF7" t="str">
            <v>PM 0.3 Filter</v>
          </cell>
          <cell r="AJ7" t="str">
            <v>Turbo Mode</v>
          </cell>
          <cell r="AK7" t="str">
            <v>Feel Mode</v>
          </cell>
          <cell r="AL7" t="str">
            <v>Cool Mode</v>
          </cell>
          <cell r="AM7" t="str">
            <v>Dry Mode</v>
          </cell>
          <cell r="AN7" t="str">
            <v>Fan Mode</v>
          </cell>
          <cell r="AP7" t="str">
            <v>Sleep Mode</v>
          </cell>
          <cell r="AQ7" t="str">
            <v>Eco Mode</v>
          </cell>
          <cell r="AR7" t="str">
            <v>LED</v>
          </cell>
          <cell r="AS7" t="str">
            <v>A</v>
          </cell>
        </row>
        <row r="8">
          <cell r="B8" t="str">
            <v>CI2431G323G3</v>
          </cell>
          <cell r="C8">
            <v>8903287201929</v>
          </cell>
          <cell r="D8" t="str">
            <v>SPLIT AC 2.0 T CI2431G323G3-IDU, ACMIU, 63490</v>
          </cell>
          <cell r="E8" t="str">
            <v>AC</v>
          </cell>
          <cell r="F8" t="str">
            <v>AC</v>
          </cell>
          <cell r="G8" t="str">
            <v>https://www.ifbappliances.com/ci2431g323g3</v>
          </cell>
          <cell r="H8">
            <v>63490</v>
          </cell>
          <cell r="I8">
            <v>63490</v>
          </cell>
          <cell r="J8">
            <v>53966.5</v>
          </cell>
          <cell r="K8" t="str">
            <v>IFB</v>
          </cell>
          <cell r="L8">
            <v>2</v>
          </cell>
          <cell r="M8">
            <v>3</v>
          </cell>
          <cell r="N8" t="str">
            <v>Ivory</v>
          </cell>
          <cell r="O8" t="str">
            <v>WiFi</v>
          </cell>
          <cell r="P8" t="str">
            <v>8in1</v>
          </cell>
          <cell r="Q8" t="str">
            <v>Filter Clean Indicator</v>
          </cell>
          <cell r="S8" t="str">
            <v>Dual Goldfin Heat Exchanger</v>
          </cell>
          <cell r="T8" t="str">
            <v>Nano-Tek Coating</v>
          </cell>
          <cell r="U8" t="str">
            <v>Fireproof ECB</v>
          </cell>
          <cell r="V8" t="str">
            <v>Copper Piping</v>
          </cell>
          <cell r="W8" t="str">
            <v>Air Cooled PCB</v>
          </cell>
          <cell r="X8" t="str">
            <v>Automotive Grade Coating on ODU</v>
          </cell>
          <cell r="Y8" t="str">
            <v>7 Stage Air Treatment</v>
          </cell>
          <cell r="Z8" t="str">
            <v>Smart AC</v>
          </cell>
          <cell r="AA8" t="str">
            <v>Aerodynamic Blower</v>
          </cell>
          <cell r="AB8" t="str">
            <v>Airflower Direction</v>
          </cell>
          <cell r="AC8" t="str">
            <v>Dust Filter</v>
          </cell>
          <cell r="AD8" t="str">
            <v>Aroma Diffuser</v>
          </cell>
          <cell r="AE8" t="str">
            <v>Activated-carbon Filter</v>
          </cell>
          <cell r="AF8" t="str">
            <v>PM 0.3 Filter</v>
          </cell>
          <cell r="AG8" t="str">
            <v>Anti-bacterial Filter</v>
          </cell>
          <cell r="AH8" t="str">
            <v>Catechin Filter</v>
          </cell>
          <cell r="AI8" t="str">
            <v>Vitamin-C Diffuser</v>
          </cell>
          <cell r="AJ8" t="str">
            <v>Turbo Mode</v>
          </cell>
          <cell r="AK8" t="str">
            <v>Feel Mode</v>
          </cell>
          <cell r="AL8" t="str">
            <v>Cool Mode</v>
          </cell>
          <cell r="AM8" t="str">
            <v>Dry Mode</v>
          </cell>
          <cell r="AN8" t="str">
            <v>Fan Mode</v>
          </cell>
          <cell r="AP8" t="str">
            <v>Sleep Mode</v>
          </cell>
          <cell r="AQ8" t="str">
            <v>Eco Mode</v>
          </cell>
          <cell r="AR8" t="str">
            <v>LED</v>
          </cell>
          <cell r="AS8" t="str">
            <v>A</v>
          </cell>
        </row>
        <row r="9">
          <cell r="B9" t="str">
            <v>CI1332A113GN1</v>
          </cell>
          <cell r="C9">
            <v>8903287207488</v>
          </cell>
          <cell r="D9" t="str">
            <v>SPLIT AC 1.0 T CI1332A113GN1 IDU, ACMIU, 15890</v>
          </cell>
          <cell r="E9" t="str">
            <v>AC</v>
          </cell>
          <cell r="F9" t="str">
            <v>AC</v>
          </cell>
          <cell r="G9" t="str">
            <v>https://www.ifbappliances.com/ci1332a113gn1</v>
          </cell>
          <cell r="H9">
            <v>52990</v>
          </cell>
          <cell r="I9">
            <v>15890</v>
          </cell>
          <cell r="J9">
            <v>31794</v>
          </cell>
          <cell r="K9" t="str">
            <v>IFB</v>
          </cell>
          <cell r="L9">
            <v>1</v>
          </cell>
          <cell r="M9">
            <v>3</v>
          </cell>
          <cell r="N9" t="str">
            <v>Ivory</v>
          </cell>
          <cell r="O9" t="str">
            <v>WiFi</v>
          </cell>
          <cell r="P9" t="str">
            <v>8in1</v>
          </cell>
          <cell r="Q9" t="str">
            <v>Filter Clean Indicator</v>
          </cell>
          <cell r="R9" t="str">
            <v>HD Compressor</v>
          </cell>
          <cell r="S9" t="str">
            <v>Dual Goldfin Heat Exchanger</v>
          </cell>
          <cell r="T9" t="str">
            <v>Nano-Tek Coating</v>
          </cell>
          <cell r="U9" t="str">
            <v>Fireproof ECB</v>
          </cell>
          <cell r="V9" t="str">
            <v>Copper Piping</v>
          </cell>
          <cell r="W9" t="str">
            <v>Air Cooled PCB</v>
          </cell>
          <cell r="X9" t="str">
            <v>Automotive Grade Coating on ODU</v>
          </cell>
          <cell r="AA9" t="str">
            <v>Aerodynamic Blower</v>
          </cell>
          <cell r="AB9" t="str">
            <v>Airflower Direction</v>
          </cell>
          <cell r="AC9" t="str">
            <v>Dust Filter</v>
          </cell>
          <cell r="AD9" t="str">
            <v>Aroma Diffuser</v>
          </cell>
          <cell r="AJ9" t="str">
            <v>Turbo Mode</v>
          </cell>
          <cell r="AK9" t="str">
            <v>Feel Mode</v>
          </cell>
          <cell r="AL9" t="str">
            <v>Cool Mode</v>
          </cell>
          <cell r="AM9" t="str">
            <v>Dry Mode</v>
          </cell>
          <cell r="AN9" t="str">
            <v>Fan Mode</v>
          </cell>
          <cell r="AP9" t="str">
            <v>Sleep Mode</v>
          </cell>
          <cell r="AQ9" t="str">
            <v>Eco Mode</v>
          </cell>
          <cell r="AS9" t="str">
            <v>C</v>
          </cell>
        </row>
        <row r="10">
          <cell r="B10" t="str">
            <v>CI2433A323G4</v>
          </cell>
          <cell r="C10">
            <v>8903287207761</v>
          </cell>
          <cell r="D10" t="str">
            <v>SPLIT AC 2.0 T 3S CI2433A323G4  - IDU, ACMIU, 24890</v>
          </cell>
          <cell r="E10" t="str">
            <v>AC</v>
          </cell>
          <cell r="F10" t="str">
            <v>AC</v>
          </cell>
          <cell r="G10" t="str">
            <v>https://www.ifbappliances.com/ci2433a323g4</v>
          </cell>
          <cell r="H10">
            <v>82990</v>
          </cell>
          <cell r="I10">
            <v>24890</v>
          </cell>
          <cell r="J10">
            <v>49794</v>
          </cell>
          <cell r="K10" t="str">
            <v>IFB</v>
          </cell>
          <cell r="L10">
            <v>2</v>
          </cell>
          <cell r="M10">
            <v>3</v>
          </cell>
          <cell r="N10" t="str">
            <v>Ivory</v>
          </cell>
          <cell r="O10" t="str">
            <v>WiFi</v>
          </cell>
          <cell r="P10" t="str">
            <v>8in1</v>
          </cell>
          <cell r="Q10" t="str">
            <v>Filter Clean Indicator</v>
          </cell>
          <cell r="R10" t="str">
            <v>HD Compressor</v>
          </cell>
          <cell r="S10" t="str">
            <v>Dual Goldfin Heat Exchanger</v>
          </cell>
          <cell r="T10" t="str">
            <v>Nano-Tek Coating</v>
          </cell>
          <cell r="U10" t="str">
            <v>Fireproof ECB</v>
          </cell>
          <cell r="V10" t="str">
            <v>Copper Piping</v>
          </cell>
          <cell r="W10" t="str">
            <v>Air Cooled PCB</v>
          </cell>
          <cell r="X10" t="str">
            <v>Automotive Grade Coating on ODU</v>
          </cell>
          <cell r="Z10" t="str">
            <v>Smart AC</v>
          </cell>
          <cell r="AA10" t="str">
            <v>Aerodynamic Blower</v>
          </cell>
          <cell r="AB10" t="str">
            <v>Airflower Direction</v>
          </cell>
          <cell r="AC10" t="str">
            <v>Dust Filter</v>
          </cell>
          <cell r="AD10" t="str">
            <v>Aroma Diffuser</v>
          </cell>
          <cell r="AJ10" t="str">
            <v>Turbo Mode</v>
          </cell>
          <cell r="AK10" t="str">
            <v>Feel Mode</v>
          </cell>
          <cell r="AL10" t="str">
            <v>Cool Mode</v>
          </cell>
          <cell r="AM10" t="str">
            <v>Dry Mode</v>
          </cell>
          <cell r="AN10" t="str">
            <v>Fan Mode</v>
          </cell>
          <cell r="AP10" t="str">
            <v>Sleep Mode</v>
          </cell>
          <cell r="AQ10" t="str">
            <v>Eco Mode</v>
          </cell>
          <cell r="AS10" t="str">
            <v>A++</v>
          </cell>
        </row>
        <row r="11">
          <cell r="B11" t="str">
            <v>CI2432D323G4</v>
          </cell>
          <cell r="C11">
            <v>8903287207662</v>
          </cell>
          <cell r="D11" t="str">
            <v>SPLIT AC 2.0 T 3S CI2432D323G4  - IDU, ACMIU, 23990</v>
          </cell>
          <cell r="E11" t="str">
            <v>AC</v>
          </cell>
          <cell r="F11" t="str">
            <v>AC</v>
          </cell>
          <cell r="G11" t="str">
            <v>https://www.ifbappliances.com/ci2432d323g4</v>
          </cell>
          <cell r="H11">
            <v>79990</v>
          </cell>
          <cell r="I11">
            <v>23990</v>
          </cell>
          <cell r="J11">
            <v>47994</v>
          </cell>
          <cell r="K11" t="str">
            <v>IFB</v>
          </cell>
          <cell r="L11">
            <v>2</v>
          </cell>
          <cell r="M11">
            <v>3</v>
          </cell>
          <cell r="N11" t="str">
            <v>Ivory</v>
          </cell>
          <cell r="O11" t="str">
            <v>WiFi</v>
          </cell>
          <cell r="P11" t="str">
            <v>8in1</v>
          </cell>
          <cell r="Q11" t="str">
            <v>Filter Clean Indicator</v>
          </cell>
          <cell r="R11" t="str">
            <v>HD Compressor</v>
          </cell>
          <cell r="S11" t="str">
            <v>Dual Goldfin Heat Exchanger</v>
          </cell>
          <cell r="T11" t="str">
            <v>Nano-Tek Coating</v>
          </cell>
          <cell r="U11" t="str">
            <v>Fireproof ECB</v>
          </cell>
          <cell r="V11" t="str">
            <v>Copper Piping</v>
          </cell>
          <cell r="W11" t="str">
            <v>Air Cooled PCB</v>
          </cell>
          <cell r="X11" t="str">
            <v>Automotive Grade Coating on ODU</v>
          </cell>
          <cell r="AA11" t="str">
            <v>Aerodynamic Blower</v>
          </cell>
          <cell r="AB11" t="str">
            <v>Airflower Direction</v>
          </cell>
          <cell r="AC11" t="str">
            <v>Dust Filter</v>
          </cell>
          <cell r="AD11" t="str">
            <v>Aroma Diffuser</v>
          </cell>
          <cell r="AJ11" t="str">
            <v>Turbo Mode</v>
          </cell>
          <cell r="AK11" t="str">
            <v>Feel Mode</v>
          </cell>
          <cell r="AL11" t="str">
            <v>Cool Mode</v>
          </cell>
          <cell r="AM11" t="str">
            <v>Dry Mode</v>
          </cell>
          <cell r="AN11" t="str">
            <v>Fan Mode</v>
          </cell>
          <cell r="AP11" t="str">
            <v>Sleep Mode</v>
          </cell>
          <cell r="AQ11" t="str">
            <v>Eco Mode</v>
          </cell>
          <cell r="AS11" t="str">
            <v>A++</v>
          </cell>
        </row>
        <row r="12">
          <cell r="B12" t="str">
            <v>CI2431G323G4</v>
          </cell>
          <cell r="C12">
            <v>8903287207624</v>
          </cell>
          <cell r="D12" t="str">
            <v>SPLIT AC 2.0 T 3S CI2431G323G4  - IDU, ACMIU, 24140</v>
          </cell>
          <cell r="E12" t="str">
            <v>AC</v>
          </cell>
          <cell r="F12" t="str">
            <v>AC</v>
          </cell>
          <cell r="G12" t="str">
            <v>https://www.ifbappliances.com/ci2431g323g4</v>
          </cell>
          <cell r="H12">
            <v>80490</v>
          </cell>
          <cell r="I12">
            <v>24140</v>
          </cell>
          <cell r="J12">
            <v>48294</v>
          </cell>
          <cell r="K12" t="str">
            <v>IFB</v>
          </cell>
          <cell r="L12">
            <v>2</v>
          </cell>
          <cell r="M12">
            <v>3</v>
          </cell>
          <cell r="N12" t="str">
            <v>Ivory</v>
          </cell>
          <cell r="O12" t="str">
            <v>WiFi</v>
          </cell>
          <cell r="P12" t="str">
            <v>8in1</v>
          </cell>
          <cell r="Q12" t="str">
            <v>Filter Clean Indicator</v>
          </cell>
          <cell r="R12" t="str">
            <v>HD Compressor</v>
          </cell>
          <cell r="S12" t="str">
            <v>Dual Goldfin Heat Exchanger</v>
          </cell>
          <cell r="T12" t="str">
            <v>Nano-Tek Coating</v>
          </cell>
          <cell r="U12" t="str">
            <v>Fireproof ECB</v>
          </cell>
          <cell r="V12" t="str">
            <v>Copper Piping</v>
          </cell>
          <cell r="W12" t="str">
            <v>Air Cooled PCB</v>
          </cell>
          <cell r="X12" t="str">
            <v>Automotive Grade Coating on ODU</v>
          </cell>
          <cell r="Y12" t="str">
            <v>7 Stage Air Treatment</v>
          </cell>
          <cell r="AA12" t="str">
            <v>Aerodynamic Blower</v>
          </cell>
          <cell r="AB12" t="str">
            <v>Airflower Direction</v>
          </cell>
          <cell r="AC12" t="str">
            <v>Dust Filter</v>
          </cell>
          <cell r="AD12" t="str">
            <v>Aroma Diffuser</v>
          </cell>
          <cell r="AE12" t="str">
            <v>Activated-carbon Filter</v>
          </cell>
          <cell r="AF12" t="str">
            <v>PM 0.3 Filter</v>
          </cell>
          <cell r="AG12" t="str">
            <v>Anti-bacterial Filter</v>
          </cell>
          <cell r="AH12" t="str">
            <v>Catechin Filter</v>
          </cell>
          <cell r="AI12" t="str">
            <v>Vitamin-C Diffuser</v>
          </cell>
          <cell r="AJ12" t="str">
            <v>Turbo Mode</v>
          </cell>
          <cell r="AK12" t="str">
            <v>Feel Mode</v>
          </cell>
          <cell r="AL12" t="str">
            <v>Cool Mode</v>
          </cell>
          <cell r="AM12" t="str">
            <v>Dry Mode</v>
          </cell>
          <cell r="AN12" t="str">
            <v>Fan Mode</v>
          </cell>
          <cell r="AP12" t="str">
            <v>Sleep Mode</v>
          </cell>
          <cell r="AQ12" t="str">
            <v>Eco Mode</v>
          </cell>
          <cell r="AS12" t="str">
            <v>A++</v>
          </cell>
        </row>
        <row r="13">
          <cell r="B13" t="str">
            <v>CI2433F323G4</v>
          </cell>
          <cell r="C13">
            <v>8903287207723</v>
          </cell>
          <cell r="D13" t="str">
            <v>SPLIT AC 2.0 T 3S CI2433F323G4  - IDU, ACMIU, 25040</v>
          </cell>
          <cell r="E13" t="str">
            <v>AC</v>
          </cell>
          <cell r="F13" t="str">
            <v>AC</v>
          </cell>
          <cell r="G13" t="str">
            <v>https://www.ifbappliances.com/ci2433f323g4</v>
          </cell>
          <cell r="H13">
            <v>83490</v>
          </cell>
          <cell r="I13">
            <v>25040</v>
          </cell>
          <cell r="J13">
            <v>50094</v>
          </cell>
          <cell r="K13" t="str">
            <v>IFB</v>
          </cell>
          <cell r="L13">
            <v>2</v>
          </cell>
          <cell r="M13">
            <v>3</v>
          </cell>
          <cell r="N13" t="str">
            <v>Ivory</v>
          </cell>
          <cell r="O13" t="str">
            <v>WiFi</v>
          </cell>
          <cell r="P13" t="str">
            <v>8in1</v>
          </cell>
          <cell r="Q13" t="str">
            <v>Filter Clean Indicator</v>
          </cell>
          <cell r="R13" t="str">
            <v>HD Compressor</v>
          </cell>
          <cell r="S13" t="str">
            <v>Dual Goldfin Heat Exchanger</v>
          </cell>
          <cell r="T13" t="str">
            <v>Nano-Tek Coating</v>
          </cell>
          <cell r="U13" t="str">
            <v>Fireproof ECB</v>
          </cell>
          <cell r="V13" t="str">
            <v>Copper Piping</v>
          </cell>
          <cell r="W13" t="str">
            <v>Air Cooled PCB</v>
          </cell>
          <cell r="X13" t="str">
            <v>Automotive Grade Coating on ODU</v>
          </cell>
          <cell r="Y13" t="str">
            <v>7 Stage Air Treatment</v>
          </cell>
          <cell r="Z13" t="str">
            <v>Smart AC</v>
          </cell>
          <cell r="AA13" t="str">
            <v>Aerodynamic Blower</v>
          </cell>
          <cell r="AB13" t="str">
            <v>Airflower Direction</v>
          </cell>
          <cell r="AC13" t="str">
            <v>Dust Filter</v>
          </cell>
          <cell r="AD13" t="str">
            <v>Aroma Diffuser</v>
          </cell>
          <cell r="AE13" t="str">
            <v>Activated-carbon Filter</v>
          </cell>
          <cell r="AF13" t="str">
            <v>PM 0.3 Filter</v>
          </cell>
          <cell r="AG13" t="str">
            <v>Anti-bacterial Filter</v>
          </cell>
          <cell r="AH13" t="str">
            <v>Catechin Filter</v>
          </cell>
          <cell r="AI13" t="str">
            <v>Vitamin-C Diffuser</v>
          </cell>
          <cell r="AJ13" t="str">
            <v>Turbo Mode</v>
          </cell>
          <cell r="AK13" t="str">
            <v>Feel Mode</v>
          </cell>
          <cell r="AL13" t="str">
            <v>Cool Mode</v>
          </cell>
          <cell r="AM13" t="str">
            <v>Dry Mode</v>
          </cell>
          <cell r="AN13" t="str">
            <v>Fan Mode</v>
          </cell>
          <cell r="AP13" t="str">
            <v>Sleep Mode</v>
          </cell>
          <cell r="AQ13" t="str">
            <v>Eco Mode</v>
          </cell>
          <cell r="AS13" t="str">
            <v>A++</v>
          </cell>
        </row>
        <row r="14">
          <cell r="B14" t="str">
            <v>CI1451G213GN1</v>
          </cell>
          <cell r="C14">
            <v>8903287207587</v>
          </cell>
          <cell r="D14" t="str">
            <v>SPLIT AC 1.0 T 5S CI1451G213GN1  - IDU, ACMIU, 19040</v>
          </cell>
          <cell r="E14" t="str">
            <v>AC</v>
          </cell>
          <cell r="F14" t="str">
            <v>AC</v>
          </cell>
          <cell r="G14" t="str">
            <v>https://www.ifbappliances.com/ci1451g213gn1</v>
          </cell>
          <cell r="H14">
            <v>63490</v>
          </cell>
          <cell r="I14">
            <v>19040</v>
          </cell>
          <cell r="J14">
            <v>38094</v>
          </cell>
          <cell r="K14" t="str">
            <v>IFB</v>
          </cell>
          <cell r="L14">
            <v>1</v>
          </cell>
          <cell r="M14">
            <v>5</v>
          </cell>
          <cell r="N14" t="str">
            <v>Ivory</v>
          </cell>
          <cell r="O14" t="str">
            <v>WiFi</v>
          </cell>
          <cell r="P14" t="str">
            <v>8in1</v>
          </cell>
          <cell r="Q14" t="str">
            <v>Filter Clean Indicator</v>
          </cell>
          <cell r="R14" t="str">
            <v>HD Compressor</v>
          </cell>
          <cell r="S14" t="str">
            <v>Dual Goldfin Heat Exchanger</v>
          </cell>
          <cell r="T14" t="str">
            <v>Nano-Tek Coating</v>
          </cell>
          <cell r="U14" t="str">
            <v>Fireproof ECB</v>
          </cell>
          <cell r="V14" t="str">
            <v>Copper Piping</v>
          </cell>
          <cell r="W14" t="str">
            <v>Air Cooled PCB</v>
          </cell>
          <cell r="X14" t="str">
            <v>Automotive Grade Coating on ODU</v>
          </cell>
          <cell r="Y14" t="str">
            <v>7 Stage Air Treatment</v>
          </cell>
          <cell r="AA14" t="str">
            <v>Aerodynamic Blower</v>
          </cell>
          <cell r="AB14" t="str">
            <v>Airflower Direction</v>
          </cell>
          <cell r="AC14" t="str">
            <v>Dust Filter</v>
          </cell>
          <cell r="AD14" t="str">
            <v>Aroma Diffuser</v>
          </cell>
          <cell r="AE14" t="str">
            <v>Activated-carbon Filter</v>
          </cell>
          <cell r="AF14" t="str">
            <v>PM 0.3 Filter</v>
          </cell>
          <cell r="AG14" t="str">
            <v>Anti-bacterial Filter</v>
          </cell>
          <cell r="AH14" t="str">
            <v>Catechin Filter</v>
          </cell>
          <cell r="AI14" t="str">
            <v>Vitamin-C Diffuser</v>
          </cell>
          <cell r="AJ14" t="str">
            <v>Turbo Mode</v>
          </cell>
          <cell r="AK14" t="str">
            <v>Feel Mode</v>
          </cell>
          <cell r="AL14" t="str">
            <v>Cool Mode</v>
          </cell>
          <cell r="AM14" t="str">
            <v>Dry Mode</v>
          </cell>
          <cell r="AN14" t="str">
            <v>Fan Mode</v>
          </cell>
          <cell r="AP14" t="str">
            <v>Sleep Mode</v>
          </cell>
          <cell r="AQ14" t="str">
            <v>Eco Mode</v>
          </cell>
          <cell r="AS14" t="str">
            <v>A</v>
          </cell>
        </row>
        <row r="15">
          <cell r="B15" t="str">
            <v>CI1453F213GN1</v>
          </cell>
          <cell r="C15">
            <v>8903287207563</v>
          </cell>
          <cell r="D15" t="str">
            <v>SPLIT AC 1.0 T 5S CI1453F213GN1  - IDU, ACMOU, 19940</v>
          </cell>
          <cell r="E15" t="str">
            <v>AC</v>
          </cell>
          <cell r="F15" t="str">
            <v>AC</v>
          </cell>
          <cell r="G15" t="str">
            <v>https://www.ifbappliances.com/ci1453f213gn1</v>
          </cell>
          <cell r="H15">
            <v>66490</v>
          </cell>
          <cell r="I15">
            <v>19940</v>
          </cell>
          <cell r="J15">
            <v>39894</v>
          </cell>
          <cell r="K15" t="str">
            <v>IFB</v>
          </cell>
          <cell r="L15">
            <v>1</v>
          </cell>
          <cell r="M15">
            <v>5</v>
          </cell>
          <cell r="N15" t="str">
            <v>Ivory</v>
          </cell>
          <cell r="O15" t="str">
            <v>WiFi</v>
          </cell>
          <cell r="P15" t="str">
            <v>8in1</v>
          </cell>
          <cell r="Q15" t="str">
            <v>Filter Clean Indicator</v>
          </cell>
          <cell r="R15" t="str">
            <v>HD Compressor</v>
          </cell>
          <cell r="S15" t="str">
            <v>Dual Goldfin Heat Exchanger</v>
          </cell>
          <cell r="T15" t="str">
            <v>Nano-Tek Coating</v>
          </cell>
          <cell r="U15" t="str">
            <v>Fireproof ECB</v>
          </cell>
          <cell r="V15" t="str">
            <v>Copper Piping</v>
          </cell>
          <cell r="W15" t="str">
            <v>Air Cooled PCB</v>
          </cell>
          <cell r="X15" t="str">
            <v>Automotive Grade Coating on ODU</v>
          </cell>
          <cell r="Y15" t="str">
            <v>7 Stage Air Treatment</v>
          </cell>
          <cell r="Z15" t="str">
            <v>Smart AC</v>
          </cell>
          <cell r="AA15" t="str">
            <v>Aerodynamic Blower</v>
          </cell>
          <cell r="AB15" t="str">
            <v>Airflower Direction</v>
          </cell>
          <cell r="AC15" t="str">
            <v>Dust Filter</v>
          </cell>
          <cell r="AD15" t="str">
            <v>Aroma Diffuser</v>
          </cell>
          <cell r="AE15" t="str">
            <v>Activated-carbon Filter</v>
          </cell>
          <cell r="AF15" t="str">
            <v>PM 0.3 Filter</v>
          </cell>
          <cell r="AG15" t="str">
            <v>Anti-bacterial Filter</v>
          </cell>
          <cell r="AH15" t="str">
            <v>Catechin Filter</v>
          </cell>
          <cell r="AI15" t="str">
            <v>Vitamin-C Diffuser</v>
          </cell>
          <cell r="AJ15" t="str">
            <v>Turbo Mode</v>
          </cell>
          <cell r="AK15" t="str">
            <v>Feel Mode</v>
          </cell>
          <cell r="AL15" t="str">
            <v>Cool Mode</v>
          </cell>
          <cell r="AM15" t="str">
            <v>Dry Mode</v>
          </cell>
          <cell r="AN15" t="str">
            <v>Fan Mode</v>
          </cell>
          <cell r="AP15" t="str">
            <v>Sleep Mode</v>
          </cell>
          <cell r="AQ15" t="str">
            <v>Eco Mode</v>
          </cell>
          <cell r="AS15" t="str">
            <v>A</v>
          </cell>
        </row>
        <row r="16">
          <cell r="B16" t="str">
            <v>HI1831G223GM1</v>
          </cell>
          <cell r="C16">
            <v>8903287206818</v>
          </cell>
          <cell r="D16" t="str">
            <v>SPLIT AC 1.5 T HI1831G223GM1 IDU, ACMIU, 72990</v>
          </cell>
          <cell r="E16" t="str">
            <v>AC</v>
          </cell>
          <cell r="F16" t="str">
            <v>AC</v>
          </cell>
          <cell r="G16" t="str">
            <v>https://www.ifbappliances.com/hi1831g223gm1</v>
          </cell>
          <cell r="H16">
            <v>72990</v>
          </cell>
          <cell r="I16">
            <v>72990</v>
          </cell>
          <cell r="J16">
            <v>43794</v>
          </cell>
          <cell r="K16" t="str">
            <v>IFB</v>
          </cell>
          <cell r="L16">
            <v>1.5</v>
          </cell>
          <cell r="M16">
            <v>3</v>
          </cell>
          <cell r="N16" t="str">
            <v>Ivory</v>
          </cell>
          <cell r="O16" t="str">
            <v>WiFi</v>
          </cell>
          <cell r="P16" t="str">
            <v>8in1</v>
          </cell>
          <cell r="Q16" t="str">
            <v>Filter Clean Indicator</v>
          </cell>
          <cell r="R16" t="str">
            <v>HD Compressor</v>
          </cell>
          <cell r="S16" t="str">
            <v>Dual Goldfin Heat Exchanger</v>
          </cell>
          <cell r="T16" t="str">
            <v>Nano-Tek Coating</v>
          </cell>
          <cell r="U16" t="str">
            <v>Fireproof ECB</v>
          </cell>
          <cell r="V16" t="str">
            <v>Copper Piping</v>
          </cell>
          <cell r="W16" t="str">
            <v>Air Cooled PCB</v>
          </cell>
          <cell r="X16" t="str">
            <v>Automotive Grade Coating on ODU</v>
          </cell>
          <cell r="Y16" t="str">
            <v>7 Stage Air Treatment</v>
          </cell>
          <cell r="AA16" t="str">
            <v>Aerodynamic Blower</v>
          </cell>
          <cell r="AB16" t="str">
            <v>Airflower Direction</v>
          </cell>
          <cell r="AC16" t="str">
            <v>Dust Filter</v>
          </cell>
          <cell r="AD16" t="str">
            <v>Aroma Diffuser</v>
          </cell>
          <cell r="AE16" t="str">
            <v>Activated-carbon Filter</v>
          </cell>
          <cell r="AF16" t="str">
            <v>PM 0.3 Filter</v>
          </cell>
          <cell r="AG16" t="str">
            <v>Anti-bacterial Filter</v>
          </cell>
          <cell r="AH16" t="str">
            <v>Catechin Filter</v>
          </cell>
          <cell r="AI16" t="str">
            <v>Vitamin-C Diffuser</v>
          </cell>
          <cell r="AJ16" t="str">
            <v>Turbo Mode</v>
          </cell>
          <cell r="AK16" t="str">
            <v>Feel Mode</v>
          </cell>
          <cell r="AL16" t="str">
            <v>Cool Mode</v>
          </cell>
          <cell r="AM16" t="str">
            <v>Dry Mode</v>
          </cell>
          <cell r="AN16" t="str">
            <v>Fan Mode</v>
          </cell>
          <cell r="AP16" t="str">
            <v>Sleep Mode</v>
          </cell>
          <cell r="AQ16" t="str">
            <v>Eco Mode</v>
          </cell>
          <cell r="AS16" t="str">
            <v>A+</v>
          </cell>
        </row>
        <row r="17">
          <cell r="B17" t="str">
            <v>CI2052A323GN1</v>
          </cell>
          <cell r="C17">
            <v>8903287207013</v>
          </cell>
          <cell r="D17" t="str">
            <v>SPLIT AC 1.5 T 5S CI2052A323GN1  - IDU, ACMIU, 21890</v>
          </cell>
          <cell r="E17" t="str">
            <v>AC</v>
          </cell>
          <cell r="F17" t="str">
            <v>AC</v>
          </cell>
          <cell r="G17" t="str">
            <v>https://www.ifbappliances.com/ci2052a323gn1</v>
          </cell>
          <cell r="H17">
            <v>72990</v>
          </cell>
          <cell r="I17">
            <v>21890</v>
          </cell>
          <cell r="J17">
            <v>43794</v>
          </cell>
          <cell r="K17" t="str">
            <v>IFB</v>
          </cell>
          <cell r="L17">
            <v>1.5</v>
          </cell>
          <cell r="M17">
            <v>5</v>
          </cell>
          <cell r="N17" t="str">
            <v>Ivory</v>
          </cell>
          <cell r="O17" t="str">
            <v>WiFi</v>
          </cell>
          <cell r="P17" t="str">
            <v>8in1</v>
          </cell>
          <cell r="Q17" t="str">
            <v>Filter Clean Indicator</v>
          </cell>
          <cell r="R17" t="str">
            <v>HD Compressor</v>
          </cell>
          <cell r="S17" t="str">
            <v>Dual Goldfin Heat Exchanger</v>
          </cell>
          <cell r="T17" t="str">
            <v>Nano-Tek Coating</v>
          </cell>
          <cell r="U17" t="str">
            <v>Fireproof ECB</v>
          </cell>
          <cell r="V17" t="str">
            <v>Copper Piping</v>
          </cell>
          <cell r="W17" t="str">
            <v>Air Cooled PCB</v>
          </cell>
          <cell r="X17" t="str">
            <v>Automotive Grade Coating on ODU</v>
          </cell>
          <cell r="AA17" t="str">
            <v>Aerodynamic Blower</v>
          </cell>
          <cell r="AB17" t="str">
            <v>Airflower Direction</v>
          </cell>
          <cell r="AC17" t="str">
            <v>Dust Filter</v>
          </cell>
          <cell r="AD17" t="str">
            <v>Aroma Diffuser</v>
          </cell>
          <cell r="AJ17" t="str">
            <v>Turbo Mode</v>
          </cell>
          <cell r="AK17" t="str">
            <v>Feel Mode</v>
          </cell>
          <cell r="AL17" t="str">
            <v>Cool Mode</v>
          </cell>
          <cell r="AM17" t="str">
            <v>Dry Mode</v>
          </cell>
          <cell r="AN17" t="str">
            <v>Fan Mode</v>
          </cell>
          <cell r="AP17" t="str">
            <v>Sleep Mode</v>
          </cell>
          <cell r="AQ17" t="str">
            <v>Eco Mode</v>
          </cell>
          <cell r="AS17" t="str">
            <v>A+</v>
          </cell>
        </row>
        <row r="18">
          <cell r="B18" t="str">
            <v>CI2053A323GN1</v>
          </cell>
          <cell r="C18">
            <v>8903287206993</v>
          </cell>
          <cell r="D18" t="str">
            <v>SPLIT AC 1.5 T 5S CI2053A323GN1  - IDU, ACMIU, 22790</v>
          </cell>
          <cell r="E18" t="str">
            <v>AC</v>
          </cell>
          <cell r="F18" t="str">
            <v>AC</v>
          </cell>
          <cell r="G18" t="str">
            <v>https://www.ifbappliances.com/ci2053a323gn1</v>
          </cell>
          <cell r="H18">
            <v>75990</v>
          </cell>
          <cell r="I18">
            <v>22790</v>
          </cell>
          <cell r="J18">
            <v>45594</v>
          </cell>
          <cell r="K18" t="str">
            <v>IFB</v>
          </cell>
          <cell r="L18">
            <v>1.5</v>
          </cell>
          <cell r="M18">
            <v>5</v>
          </cell>
          <cell r="N18" t="str">
            <v>Ivory</v>
          </cell>
          <cell r="O18" t="str">
            <v>WiFi</v>
          </cell>
          <cell r="P18" t="str">
            <v>8in1</v>
          </cell>
          <cell r="Q18" t="str">
            <v>Filter Clean Indicator</v>
          </cell>
          <cell r="R18" t="str">
            <v>HD Compressor</v>
          </cell>
          <cell r="S18" t="str">
            <v>Dual Goldfin Heat Exchanger</v>
          </cell>
          <cell r="T18" t="str">
            <v>Nano-Tek Coating</v>
          </cell>
          <cell r="U18" t="str">
            <v>Fireproof ECB</v>
          </cell>
          <cell r="V18" t="str">
            <v>Copper Piping</v>
          </cell>
          <cell r="W18" t="str">
            <v>Air Cooled PCB</v>
          </cell>
          <cell r="X18" t="str">
            <v>Automotive Grade Coating on ODU</v>
          </cell>
          <cell r="Z18" t="str">
            <v>Smart AC</v>
          </cell>
          <cell r="AA18" t="str">
            <v>Aerodynamic Blower</v>
          </cell>
          <cell r="AB18" t="str">
            <v>Airflower Direction</v>
          </cell>
          <cell r="AC18" t="str">
            <v>Dust Filter</v>
          </cell>
          <cell r="AD18" t="str">
            <v>Aroma Diffuser</v>
          </cell>
          <cell r="AJ18" t="str">
            <v>Turbo Mode</v>
          </cell>
          <cell r="AK18" t="str">
            <v>Feel Mode</v>
          </cell>
          <cell r="AL18" t="str">
            <v>Cool Mode</v>
          </cell>
          <cell r="AM18" t="str">
            <v>Dry Mode</v>
          </cell>
          <cell r="AN18" t="str">
            <v>Fan Mode</v>
          </cell>
          <cell r="AP18" t="str">
            <v>Sleep Mode</v>
          </cell>
          <cell r="AQ18" t="str">
            <v>Eco Mode</v>
          </cell>
          <cell r="AS18" t="str">
            <v>A++</v>
          </cell>
        </row>
        <row r="19">
          <cell r="B19" t="str">
            <v>CI2051G323GN1</v>
          </cell>
          <cell r="C19">
            <v>8903287206979</v>
          </cell>
          <cell r="D19" t="str">
            <v>SPLIT AC 1.5 T 5S CI2051G323GN1  - IDU, ACMIU, 22040</v>
          </cell>
          <cell r="E19" t="str">
            <v>AC</v>
          </cell>
          <cell r="F19" t="str">
            <v>AC</v>
          </cell>
          <cell r="G19" t="str">
            <v>https://www.ifbappliances.com/ci2051g323gn1</v>
          </cell>
          <cell r="H19">
            <v>73490</v>
          </cell>
          <cell r="I19">
            <v>22040</v>
          </cell>
          <cell r="J19">
            <v>44094</v>
          </cell>
          <cell r="K19" t="str">
            <v>IFB</v>
          </cell>
          <cell r="L19">
            <v>1.5</v>
          </cell>
          <cell r="M19">
            <v>5</v>
          </cell>
          <cell r="N19" t="str">
            <v>Ivory</v>
          </cell>
          <cell r="O19" t="str">
            <v>WiFi</v>
          </cell>
          <cell r="P19" t="str">
            <v>8in1</v>
          </cell>
          <cell r="Q19" t="str">
            <v>Filter Clean Indicator</v>
          </cell>
          <cell r="R19" t="str">
            <v>HD Compressor</v>
          </cell>
          <cell r="S19" t="str">
            <v>Dual Goldfin Heat Exchanger</v>
          </cell>
          <cell r="T19" t="str">
            <v>Nano-Tek Coating</v>
          </cell>
          <cell r="U19" t="str">
            <v>Fireproof ECB</v>
          </cell>
          <cell r="V19" t="str">
            <v>Copper Piping</v>
          </cell>
          <cell r="W19" t="str">
            <v>Air Cooled PCB</v>
          </cell>
          <cell r="X19" t="str">
            <v>Automotive Grade Coating on ODU</v>
          </cell>
          <cell r="Y19" t="str">
            <v>7 Stage Air Treatment</v>
          </cell>
          <cell r="AA19" t="str">
            <v>Aerodynamic Blower</v>
          </cell>
          <cell r="AB19" t="str">
            <v>Airflower Direction</v>
          </cell>
          <cell r="AC19" t="str">
            <v>Dust Filter</v>
          </cell>
          <cell r="AD19" t="str">
            <v>Aroma Diffuser</v>
          </cell>
          <cell r="AE19" t="str">
            <v>Activated-carbon Filter</v>
          </cell>
          <cell r="AF19" t="str">
            <v>PM 0.3 Filter</v>
          </cell>
          <cell r="AG19" t="str">
            <v>Anti-bacterial Filter</v>
          </cell>
          <cell r="AH19" t="str">
            <v>Catechin Filter</v>
          </cell>
          <cell r="AI19" t="str">
            <v>Vitamin-C Diffuser</v>
          </cell>
          <cell r="AJ19" t="str">
            <v>Turbo Mode</v>
          </cell>
          <cell r="AK19" t="str">
            <v>Feel Mode</v>
          </cell>
          <cell r="AL19" t="str">
            <v>Cool Mode</v>
          </cell>
          <cell r="AM19" t="str">
            <v>Dry Mode</v>
          </cell>
          <cell r="AN19" t="str">
            <v>Fan Mode</v>
          </cell>
          <cell r="AP19" t="str">
            <v>Sleep Mode</v>
          </cell>
          <cell r="AQ19" t="str">
            <v>Eco Mode</v>
          </cell>
          <cell r="AS19" t="str">
            <v>A+</v>
          </cell>
        </row>
        <row r="20">
          <cell r="B20" t="str">
            <v>CI2053F323GN1</v>
          </cell>
          <cell r="C20">
            <v>8903287206955</v>
          </cell>
          <cell r="D20" t="str">
            <v>SPLIT AC 1.5 T 5S CI2053F323GN1  - IDU, ACMIU, 22940</v>
          </cell>
          <cell r="E20" t="str">
            <v>AC</v>
          </cell>
          <cell r="F20" t="str">
            <v>AC</v>
          </cell>
          <cell r="G20" t="str">
            <v>https://www.ifbappliances.com/ci2053f323gn1</v>
          </cell>
          <cell r="H20">
            <v>76490</v>
          </cell>
          <cell r="I20">
            <v>22940</v>
          </cell>
          <cell r="J20">
            <v>45894</v>
          </cell>
          <cell r="K20" t="str">
            <v>IFB</v>
          </cell>
          <cell r="L20">
            <v>1.5</v>
          </cell>
          <cell r="M20">
            <v>5</v>
          </cell>
          <cell r="N20" t="str">
            <v>Ivory</v>
          </cell>
          <cell r="O20" t="str">
            <v>WiFi</v>
          </cell>
          <cell r="P20" t="str">
            <v>8in1</v>
          </cell>
          <cell r="Q20" t="str">
            <v>Filter Clean Indicator</v>
          </cell>
          <cell r="R20" t="str">
            <v>HD Compressor</v>
          </cell>
          <cell r="S20" t="str">
            <v>Dual Goldfin Heat Exchanger</v>
          </cell>
          <cell r="T20" t="str">
            <v>Nano-Tek Coating</v>
          </cell>
          <cell r="U20" t="str">
            <v>Fireproof ECB</v>
          </cell>
          <cell r="V20" t="str">
            <v>Copper Piping</v>
          </cell>
          <cell r="W20" t="str">
            <v>Air Cooled PCB</v>
          </cell>
          <cell r="X20" t="str">
            <v>Automotive Grade Coating on ODU</v>
          </cell>
          <cell r="Y20" t="str">
            <v>7 Stage Air Treatment</v>
          </cell>
          <cell r="Z20" t="str">
            <v>Smart AC</v>
          </cell>
          <cell r="AA20" t="str">
            <v>Aerodynamic Blower</v>
          </cell>
          <cell r="AB20" t="str">
            <v>Airflower Direction</v>
          </cell>
          <cell r="AC20" t="str">
            <v>Dust Filter</v>
          </cell>
          <cell r="AD20" t="str">
            <v>Aroma Diffuser</v>
          </cell>
          <cell r="AE20" t="str">
            <v>Activated-carbon Filter</v>
          </cell>
          <cell r="AF20" t="str">
            <v>PM 0.3 Filter</v>
          </cell>
          <cell r="AG20" t="str">
            <v>Anti-bacterial Filter</v>
          </cell>
          <cell r="AH20" t="str">
            <v>Catechin Filter</v>
          </cell>
          <cell r="AI20" t="str">
            <v>Vitamin-C Diffuser</v>
          </cell>
          <cell r="AJ20" t="str">
            <v>Turbo Mode</v>
          </cell>
          <cell r="AK20" t="str">
            <v>Feel Mode</v>
          </cell>
          <cell r="AL20" t="str">
            <v>Cool Mode</v>
          </cell>
          <cell r="AM20" t="str">
            <v>Dry Mode</v>
          </cell>
          <cell r="AN20" t="str">
            <v>Fan Mode</v>
          </cell>
          <cell r="AP20" t="str">
            <v>Sleep Mode</v>
          </cell>
          <cell r="AQ20" t="str">
            <v>Eco Mode</v>
          </cell>
          <cell r="AS20" t="str">
            <v>A++</v>
          </cell>
        </row>
        <row r="21">
          <cell r="B21" t="str">
            <v>CI1852A223GN1</v>
          </cell>
          <cell r="C21">
            <v>8903287207303</v>
          </cell>
          <cell r="D21" t="str">
            <v>SPLIT AC 1.5 T 5S CI1852A223GN1  - IDU, ACMIU, 21740</v>
          </cell>
          <cell r="E21" t="str">
            <v>AC</v>
          </cell>
          <cell r="F21" t="str">
            <v>AC</v>
          </cell>
          <cell r="G21" t="str">
            <v>https://www.ifbappliances.com/ci1852a223gn1</v>
          </cell>
          <cell r="H21">
            <v>72490</v>
          </cell>
          <cell r="I21">
            <v>21740</v>
          </cell>
          <cell r="J21">
            <v>43494</v>
          </cell>
          <cell r="K21" t="str">
            <v>IFB</v>
          </cell>
          <cell r="L21">
            <v>1.5</v>
          </cell>
          <cell r="M21">
            <v>5</v>
          </cell>
          <cell r="N21" t="str">
            <v>Ivory</v>
          </cell>
          <cell r="O21" t="str">
            <v>WiFi</v>
          </cell>
          <cell r="P21" t="str">
            <v>8in1</v>
          </cell>
          <cell r="Q21" t="str">
            <v>Filter Clean Indicator</v>
          </cell>
          <cell r="R21" t="str">
            <v>HD Compressor</v>
          </cell>
          <cell r="S21" t="str">
            <v>Dual Goldfin Heat Exchanger</v>
          </cell>
          <cell r="T21" t="str">
            <v>Nano-Tek Coating</v>
          </cell>
          <cell r="U21" t="str">
            <v>Fireproof ECB</v>
          </cell>
          <cell r="V21" t="str">
            <v>Copper Piping</v>
          </cell>
          <cell r="W21" t="str">
            <v>Air Cooled PCB</v>
          </cell>
          <cell r="X21" t="str">
            <v>Automotive Grade Coating on ODU</v>
          </cell>
          <cell r="AA21" t="str">
            <v>Aerodynamic Blower</v>
          </cell>
          <cell r="AB21" t="str">
            <v>Airflower Direction</v>
          </cell>
          <cell r="AC21" t="str">
            <v>Dust Filter</v>
          </cell>
          <cell r="AD21" t="str">
            <v>Aroma Diffuser</v>
          </cell>
          <cell r="AJ21" t="str">
            <v>Turbo Mode</v>
          </cell>
          <cell r="AK21" t="str">
            <v>Feel Mode</v>
          </cell>
          <cell r="AL21" t="str">
            <v>Cool Mode</v>
          </cell>
          <cell r="AM21" t="str">
            <v>Dry Mode</v>
          </cell>
          <cell r="AN21" t="str">
            <v>Fan Mode</v>
          </cell>
          <cell r="AP21" t="str">
            <v>Sleep Mode</v>
          </cell>
          <cell r="AQ21" t="str">
            <v>Eco Mode</v>
          </cell>
          <cell r="AS21" t="str">
            <v>A+</v>
          </cell>
        </row>
        <row r="22">
          <cell r="B22" t="str">
            <v>CI1832A223GN1</v>
          </cell>
          <cell r="C22">
            <v>8903287206757</v>
          </cell>
          <cell r="D22" t="str">
            <v>SPLIT AC 1.5 T CI1832A223GN1 - IDU, ACMIU, 62990</v>
          </cell>
          <cell r="E22" t="str">
            <v>AC</v>
          </cell>
          <cell r="F22" t="str">
            <v>AC</v>
          </cell>
          <cell r="G22" t="str">
            <v>https://www.ifbappliances.com/ci1832a223gn1</v>
          </cell>
          <cell r="H22">
            <v>62990</v>
          </cell>
          <cell r="I22">
            <v>62990</v>
          </cell>
          <cell r="J22">
            <v>37794</v>
          </cell>
          <cell r="K22" t="str">
            <v>IFB</v>
          </cell>
          <cell r="L22">
            <v>1.5</v>
          </cell>
          <cell r="M22">
            <v>3</v>
          </cell>
          <cell r="N22" t="str">
            <v>Ivory</v>
          </cell>
          <cell r="O22" t="str">
            <v>WiFi</v>
          </cell>
          <cell r="P22" t="str">
            <v>8in1</v>
          </cell>
          <cell r="Q22" t="str">
            <v>Filter Clean Indicator</v>
          </cell>
          <cell r="R22" t="str">
            <v>HD Compressor</v>
          </cell>
          <cell r="S22" t="str">
            <v>Dual Goldfin Heat Exchanger</v>
          </cell>
          <cell r="T22" t="str">
            <v>Nano-Tek Coating</v>
          </cell>
          <cell r="U22" t="str">
            <v>Fireproof ECB</v>
          </cell>
          <cell r="V22" t="str">
            <v>Copper Piping</v>
          </cell>
          <cell r="W22" t="str">
            <v>Air Cooled PCB</v>
          </cell>
          <cell r="X22" t="str">
            <v>Automotive Grade Coating on ODU</v>
          </cell>
          <cell r="AA22" t="str">
            <v>Aerodynamic Blower</v>
          </cell>
          <cell r="AB22" t="str">
            <v>Airflower Direction</v>
          </cell>
          <cell r="AC22" t="str">
            <v>Dust Filter</v>
          </cell>
          <cell r="AD22" t="str">
            <v>Aroma Diffuser</v>
          </cell>
          <cell r="AJ22" t="str">
            <v>Turbo Mode</v>
          </cell>
          <cell r="AK22" t="str">
            <v>Feel Mode</v>
          </cell>
          <cell r="AL22" t="str">
            <v>Cool Mode</v>
          </cell>
          <cell r="AM22" t="str">
            <v>Dry Mode</v>
          </cell>
          <cell r="AN22" t="str">
            <v>Fan Mode</v>
          </cell>
          <cell r="AP22" t="str">
            <v>Sleep Mode</v>
          </cell>
          <cell r="AQ22" t="str">
            <v>Eco Mode</v>
          </cell>
          <cell r="AS22" t="str">
            <v>A</v>
          </cell>
        </row>
        <row r="23">
          <cell r="B23" t="str">
            <v>CI1833A223GM1</v>
          </cell>
          <cell r="C23">
            <v>8903287207549</v>
          </cell>
          <cell r="D23" t="str">
            <v>SPLIT AC 1.5 T 3S CI1833A223GM1  - IDU, ACMIU, 19790</v>
          </cell>
          <cell r="E23" t="str">
            <v>AC</v>
          </cell>
          <cell r="F23" t="str">
            <v>AC</v>
          </cell>
          <cell r="G23" t="str">
            <v>https://www.ifbappliances.com/ci1833a223gm1</v>
          </cell>
          <cell r="H23">
            <v>65990</v>
          </cell>
          <cell r="I23">
            <v>19790</v>
          </cell>
          <cell r="J23">
            <v>39594</v>
          </cell>
          <cell r="K23" t="str">
            <v>IFB</v>
          </cell>
          <cell r="L23">
            <v>1.5</v>
          </cell>
          <cell r="M23">
            <v>3</v>
          </cell>
          <cell r="N23" t="str">
            <v>Ivory</v>
          </cell>
          <cell r="O23" t="str">
            <v>WiFi</v>
          </cell>
          <cell r="P23" t="str">
            <v>8in1</v>
          </cell>
          <cell r="Q23" t="str">
            <v>Filter Clean Indicator</v>
          </cell>
          <cell r="R23" t="str">
            <v>HD Compressor</v>
          </cell>
          <cell r="S23" t="str">
            <v>Dual Goldfin Heat Exchanger</v>
          </cell>
          <cell r="T23" t="str">
            <v>Nano-Tek Coating</v>
          </cell>
          <cell r="U23" t="str">
            <v>Fireproof ECB</v>
          </cell>
          <cell r="V23" t="str">
            <v>Copper Piping</v>
          </cell>
          <cell r="W23" t="str">
            <v>Air Cooled PCB</v>
          </cell>
          <cell r="X23" t="str">
            <v>Automotive Grade Coating on ODU</v>
          </cell>
          <cell r="Z23" t="str">
            <v>Smart AC</v>
          </cell>
          <cell r="AA23" t="str">
            <v>Aerodynamic Blower</v>
          </cell>
          <cell r="AB23" t="str">
            <v>Airflower Direction</v>
          </cell>
          <cell r="AC23" t="str">
            <v>Dust Filter</v>
          </cell>
          <cell r="AD23" t="str">
            <v>Aroma Diffuser</v>
          </cell>
          <cell r="AJ23" t="str">
            <v>Turbo Mode</v>
          </cell>
          <cell r="AK23" t="str">
            <v>Feel Mode</v>
          </cell>
          <cell r="AL23" t="str">
            <v>Cool Mode</v>
          </cell>
          <cell r="AM23" t="str">
            <v>Dry Mode</v>
          </cell>
          <cell r="AN23" t="str">
            <v>Fan Mode</v>
          </cell>
          <cell r="AP23" t="str">
            <v>Sleep Mode</v>
          </cell>
          <cell r="AQ23" t="str">
            <v>Eco Mode</v>
          </cell>
          <cell r="AS23" t="str">
            <v>A</v>
          </cell>
        </row>
        <row r="24">
          <cell r="B24" t="str">
            <v>CI1832D223GN1</v>
          </cell>
          <cell r="C24">
            <v>8903287206733</v>
          </cell>
          <cell r="D24" t="str">
            <v>SPLIT AC 1.5 T CI1832D223GN1 - IDU, ACMIU, 62990</v>
          </cell>
          <cell r="E24" t="str">
            <v>AC</v>
          </cell>
          <cell r="F24" t="str">
            <v>AC</v>
          </cell>
          <cell r="G24" t="str">
            <v>https://www.ifbappliances.com/ci1832d223gn1</v>
          </cell>
          <cell r="H24">
            <v>62990</v>
          </cell>
          <cell r="I24">
            <v>62990</v>
          </cell>
          <cell r="J24">
            <v>37794</v>
          </cell>
          <cell r="K24" t="str">
            <v>IFB</v>
          </cell>
          <cell r="L24">
            <v>1.5</v>
          </cell>
          <cell r="M24">
            <v>3</v>
          </cell>
          <cell r="N24" t="str">
            <v>Ivory</v>
          </cell>
          <cell r="O24" t="str">
            <v>WiFi</v>
          </cell>
          <cell r="P24" t="str">
            <v>8in1</v>
          </cell>
          <cell r="Q24" t="str">
            <v>Filter Clean Indicator</v>
          </cell>
          <cell r="R24" t="str">
            <v>HD Compressor</v>
          </cell>
          <cell r="S24" t="str">
            <v>Dual Goldfin Heat Exchanger</v>
          </cell>
          <cell r="T24" t="str">
            <v>Nano-Tek Coating</v>
          </cell>
          <cell r="U24" t="str">
            <v>Fireproof ECB</v>
          </cell>
          <cell r="V24" t="str">
            <v>Copper Piping</v>
          </cell>
          <cell r="W24" t="str">
            <v>Air Cooled PCB</v>
          </cell>
          <cell r="X24" t="str">
            <v>Automotive Grade Coating on ODU</v>
          </cell>
          <cell r="AA24" t="str">
            <v>Aerodynamic Blower</v>
          </cell>
          <cell r="AB24" t="str">
            <v>Airflower Direction</v>
          </cell>
          <cell r="AC24" t="str">
            <v>Dust Filter</v>
          </cell>
          <cell r="AD24" t="str">
            <v>Aroma Diffuser</v>
          </cell>
          <cell r="AJ24" t="str">
            <v>Turbo Mode</v>
          </cell>
          <cell r="AK24" t="str">
            <v>Feel Mode</v>
          </cell>
          <cell r="AL24" t="str">
            <v>Cool Mode</v>
          </cell>
          <cell r="AM24" t="str">
            <v>Dry Mode</v>
          </cell>
          <cell r="AN24" t="str">
            <v>Fan Mode</v>
          </cell>
          <cell r="AP24" t="str">
            <v>Sleep Mode</v>
          </cell>
          <cell r="AQ24" t="str">
            <v>Eco Mode</v>
          </cell>
          <cell r="AS24" t="str">
            <v>A</v>
          </cell>
        </row>
        <row r="25">
          <cell r="B25" t="str">
            <v>CI1831G223GN1</v>
          </cell>
          <cell r="C25">
            <v>8903287207327</v>
          </cell>
          <cell r="D25" t="str">
            <v>SPLIT AC 1.5 T 3S CI1831G223GN1  - IDU, ACMIU, 19040</v>
          </cell>
          <cell r="E25" t="str">
            <v>AC</v>
          </cell>
          <cell r="F25" t="str">
            <v>AC</v>
          </cell>
          <cell r="G25" t="str">
            <v>https://www.ifbappliances.com/ci1831g223gn1</v>
          </cell>
          <cell r="H25">
            <v>63490</v>
          </cell>
          <cell r="I25">
            <v>19040</v>
          </cell>
          <cell r="J25">
            <v>38094</v>
          </cell>
          <cell r="K25" t="str">
            <v>IFB</v>
          </cell>
          <cell r="L25">
            <v>1.5</v>
          </cell>
          <cell r="M25">
            <v>3</v>
          </cell>
          <cell r="N25" t="str">
            <v>Ivory</v>
          </cell>
          <cell r="O25" t="str">
            <v>WiFi</v>
          </cell>
          <cell r="P25" t="str">
            <v>8in1</v>
          </cell>
          <cell r="Q25" t="str">
            <v>Filter Clean Indicator</v>
          </cell>
          <cell r="R25" t="str">
            <v>HD Compressor</v>
          </cell>
          <cell r="S25" t="str">
            <v>Dual Goldfin Heat Exchanger</v>
          </cell>
          <cell r="T25" t="str">
            <v>Nano-Tek Coating</v>
          </cell>
          <cell r="U25" t="str">
            <v>Fireproof ECB</v>
          </cell>
          <cell r="V25" t="str">
            <v>Copper Piping</v>
          </cell>
          <cell r="W25" t="str">
            <v>Air Cooled PCB</v>
          </cell>
          <cell r="X25" t="str">
            <v>Automotive Grade Coating on ODU</v>
          </cell>
          <cell r="Y25" t="str">
            <v>7 Stage Air Treatment</v>
          </cell>
          <cell r="AA25" t="str">
            <v>Aerodynamic Blower</v>
          </cell>
          <cell r="AB25" t="str">
            <v>Airflower Direction</v>
          </cell>
          <cell r="AC25" t="str">
            <v>Dust Filter</v>
          </cell>
          <cell r="AD25" t="str">
            <v>Aroma Diffuser</v>
          </cell>
          <cell r="AE25" t="str">
            <v>Activated-carbon Filter</v>
          </cell>
          <cell r="AF25" t="str">
            <v>PM 0.3 Filter</v>
          </cell>
          <cell r="AG25" t="str">
            <v>Anti-bacterial Filter</v>
          </cell>
          <cell r="AH25" t="str">
            <v>Catechin Filter</v>
          </cell>
          <cell r="AI25" t="str">
            <v>Vitamin-C Diffuser</v>
          </cell>
          <cell r="AJ25" t="str">
            <v>Turbo Mode</v>
          </cell>
          <cell r="AK25" t="str">
            <v>Feel Mode</v>
          </cell>
          <cell r="AL25" t="str">
            <v>Cool Mode</v>
          </cell>
          <cell r="AM25" t="str">
            <v>Dry Mode</v>
          </cell>
          <cell r="AN25" t="str">
            <v>Fan Mode</v>
          </cell>
          <cell r="AP25" t="str">
            <v>Sleep Mode</v>
          </cell>
          <cell r="AQ25" t="str">
            <v>Eco Mode</v>
          </cell>
          <cell r="AS25" t="str">
            <v>A</v>
          </cell>
        </row>
        <row r="26">
          <cell r="B26" t="str">
            <v>CI1833F223GM1</v>
          </cell>
          <cell r="C26">
            <v>8903287206696</v>
          </cell>
          <cell r="D26" t="str">
            <v>SPLIT AC 1.5 T CI1833F223GM1 - IDU, ACMIU, 66490</v>
          </cell>
          <cell r="E26" t="str">
            <v>AC</v>
          </cell>
          <cell r="F26" t="str">
            <v>AC</v>
          </cell>
          <cell r="G26" t="str">
            <v>https://www.ifbappliances.com/ci1833f223gm1</v>
          </cell>
          <cell r="H26">
            <v>66490</v>
          </cell>
          <cell r="I26">
            <v>66490</v>
          </cell>
          <cell r="J26">
            <v>39894</v>
          </cell>
          <cell r="K26" t="str">
            <v>IFB</v>
          </cell>
          <cell r="L26">
            <v>1.5</v>
          </cell>
          <cell r="M26">
            <v>3</v>
          </cell>
          <cell r="N26" t="str">
            <v>Ivory</v>
          </cell>
          <cell r="O26" t="str">
            <v>WiFi</v>
          </cell>
          <cell r="P26" t="str">
            <v>8in1</v>
          </cell>
          <cell r="Q26" t="str">
            <v>Filter Clean Indicator</v>
          </cell>
          <cell r="R26" t="str">
            <v>HD Compressor</v>
          </cell>
          <cell r="S26" t="str">
            <v>Dual Goldfin Heat Exchanger</v>
          </cell>
          <cell r="T26" t="str">
            <v>Nano-Tek Coating</v>
          </cell>
          <cell r="U26" t="str">
            <v>Fireproof ECB</v>
          </cell>
          <cell r="V26" t="str">
            <v>Copper Piping</v>
          </cell>
          <cell r="W26" t="str">
            <v>Air Cooled PCB</v>
          </cell>
          <cell r="X26" t="str">
            <v>Automotive Grade Coating on ODU</v>
          </cell>
          <cell r="Y26" t="str">
            <v>7 Stage Air Treatment</v>
          </cell>
          <cell r="Z26" t="str">
            <v>Smart AC</v>
          </cell>
          <cell r="AA26" t="str">
            <v>Aerodynamic Blower</v>
          </cell>
          <cell r="AB26" t="str">
            <v>Airflower Direction</v>
          </cell>
          <cell r="AC26" t="str">
            <v>Dust Filter</v>
          </cell>
          <cell r="AD26" t="str">
            <v>Aroma Diffuser</v>
          </cell>
          <cell r="AE26" t="str">
            <v>Activated-carbon Filter</v>
          </cell>
          <cell r="AF26" t="str">
            <v>PM 0.3 Filter</v>
          </cell>
          <cell r="AG26" t="str">
            <v>Anti-bacterial Filter</v>
          </cell>
          <cell r="AH26" t="str">
            <v>Catechin Filter</v>
          </cell>
          <cell r="AI26" t="str">
            <v>Vitamin-C Diffuser</v>
          </cell>
          <cell r="AJ26" t="str">
            <v>Turbo Mode</v>
          </cell>
          <cell r="AK26" t="str">
            <v>Feel Mode</v>
          </cell>
          <cell r="AL26" t="str">
            <v>Cool Mode</v>
          </cell>
          <cell r="AM26" t="str">
            <v>Dry Mode</v>
          </cell>
          <cell r="AN26" t="str">
            <v>Fan Mode</v>
          </cell>
          <cell r="AP26" t="str">
            <v>Sleep Mode</v>
          </cell>
          <cell r="AQ26" t="str">
            <v>Eco Mode</v>
          </cell>
          <cell r="AS26" t="str">
            <v>A</v>
          </cell>
        </row>
        <row r="27">
          <cell r="B27" t="str">
            <v>CI1333A113GN1</v>
          </cell>
          <cell r="C27">
            <v>8903287207266</v>
          </cell>
          <cell r="D27" t="str">
            <v>SPLIT AC 1.0 T 3S CI1333A113GN1 IDU, ACMIU, 16790</v>
          </cell>
          <cell r="E27" t="str">
            <v>AC</v>
          </cell>
          <cell r="F27" t="str">
            <v>AC</v>
          </cell>
          <cell r="G27" t="str">
            <v>https://www.ifbappliances.com/ci1333a113gn1</v>
          </cell>
          <cell r="H27">
            <v>55990</v>
          </cell>
          <cell r="I27">
            <v>16790</v>
          </cell>
          <cell r="J27">
            <v>33594</v>
          </cell>
          <cell r="K27" t="str">
            <v>IFB</v>
          </cell>
          <cell r="L27">
            <v>1</v>
          </cell>
          <cell r="M27">
            <v>3</v>
          </cell>
          <cell r="N27" t="str">
            <v>Ivory</v>
          </cell>
          <cell r="O27" t="str">
            <v>WiFi</v>
          </cell>
          <cell r="P27" t="str">
            <v>8in1</v>
          </cell>
          <cell r="Q27" t="str">
            <v>Filter Clean Indicator</v>
          </cell>
          <cell r="R27" t="str">
            <v>HD Compressor</v>
          </cell>
          <cell r="S27" t="str">
            <v>Dual Goldfin Heat Exchanger</v>
          </cell>
          <cell r="T27" t="str">
            <v>Nano-Tek Coating</v>
          </cell>
          <cell r="U27" t="str">
            <v>Fireproof ECB</v>
          </cell>
          <cell r="V27" t="str">
            <v>Copper Piping</v>
          </cell>
          <cell r="W27" t="str">
            <v>Air Cooled PCB</v>
          </cell>
          <cell r="X27" t="str">
            <v>Automotive Grade Coating on ODU</v>
          </cell>
          <cell r="Z27" t="str">
            <v>Smart AC</v>
          </cell>
          <cell r="AA27" t="str">
            <v>Aerodynamic Blower</v>
          </cell>
          <cell r="AB27" t="str">
            <v>Airflower Direction</v>
          </cell>
          <cell r="AC27" t="str">
            <v>Dust Filter</v>
          </cell>
          <cell r="AD27" t="str">
            <v>Aroma Diffuser</v>
          </cell>
          <cell r="AJ27" t="str">
            <v>Turbo Mode</v>
          </cell>
          <cell r="AK27" t="str">
            <v>Feel Mode</v>
          </cell>
          <cell r="AL27" t="str">
            <v>Cool Mode</v>
          </cell>
          <cell r="AM27" t="str">
            <v>Dry Mode</v>
          </cell>
          <cell r="AN27" t="str">
            <v>Fan Mode</v>
          </cell>
          <cell r="AP27" t="str">
            <v>Sleep Mode</v>
          </cell>
          <cell r="AQ27" t="str">
            <v>Eco Mode</v>
          </cell>
          <cell r="AS27" t="str">
            <v>B</v>
          </cell>
        </row>
        <row r="28">
          <cell r="B28" t="str">
            <v>CI1332D113GN1</v>
          </cell>
          <cell r="C28">
            <v>8903287207242</v>
          </cell>
          <cell r="D28" t="str">
            <v>SPLIT AC 1.0 T 3S CI1332D113GN1 IDU, ACMIU, 15890</v>
          </cell>
          <cell r="E28" t="str">
            <v>AC</v>
          </cell>
          <cell r="F28" t="str">
            <v>AC</v>
          </cell>
          <cell r="G28" t="str">
            <v>https://www.ifbappliances.com/ci1332d113gn1</v>
          </cell>
          <cell r="H28">
            <v>52990</v>
          </cell>
          <cell r="I28">
            <v>15890</v>
          </cell>
          <cell r="J28">
            <v>31794</v>
          </cell>
          <cell r="K28" t="str">
            <v>IFB</v>
          </cell>
          <cell r="L28">
            <v>1</v>
          </cell>
          <cell r="M28">
            <v>3</v>
          </cell>
          <cell r="N28" t="str">
            <v>Ivory</v>
          </cell>
          <cell r="O28" t="str">
            <v>WiFi</v>
          </cell>
          <cell r="P28" t="str">
            <v>8in1</v>
          </cell>
          <cell r="Q28" t="str">
            <v>Filter Clean Indicator</v>
          </cell>
          <cell r="R28" t="str">
            <v>HD Compressor</v>
          </cell>
          <cell r="S28" t="str">
            <v>Dual Goldfin Heat Exchanger</v>
          </cell>
          <cell r="T28" t="str">
            <v>Nano-Tek Coating</v>
          </cell>
          <cell r="U28" t="str">
            <v>Fireproof ECB</v>
          </cell>
          <cell r="V28" t="str">
            <v>Copper Piping</v>
          </cell>
          <cell r="W28" t="str">
            <v>Air Cooled PCB</v>
          </cell>
          <cell r="X28" t="str">
            <v>Automotive Grade Coating on ODU</v>
          </cell>
          <cell r="AA28" t="str">
            <v>Aerodynamic Blower</v>
          </cell>
          <cell r="AB28" t="str">
            <v>Airflower Direction</v>
          </cell>
          <cell r="AC28" t="str">
            <v>Dust Filter</v>
          </cell>
          <cell r="AD28" t="str">
            <v>Aroma Diffuser</v>
          </cell>
          <cell r="AJ28" t="str">
            <v>Turbo Mode</v>
          </cell>
          <cell r="AK28" t="str">
            <v>Feel Mode</v>
          </cell>
          <cell r="AL28" t="str">
            <v>Cool Mode</v>
          </cell>
          <cell r="AM28" t="str">
            <v>Dry Mode</v>
          </cell>
          <cell r="AN28" t="str">
            <v>Fan Mode</v>
          </cell>
          <cell r="AP28" t="str">
            <v>Sleep Mode</v>
          </cell>
          <cell r="AQ28" t="str">
            <v>Eco Mode</v>
          </cell>
          <cell r="AS28" t="str">
            <v>C</v>
          </cell>
        </row>
        <row r="29">
          <cell r="B29" t="str">
            <v>CI1333E113GN1</v>
          </cell>
          <cell r="C29">
            <v>8903287207525</v>
          </cell>
          <cell r="D29" t="str">
            <v>SPLIT AC 1.0 T CI1333E113GN1 IDU, ACMIU, 16790</v>
          </cell>
          <cell r="E29" t="str">
            <v>AC</v>
          </cell>
          <cell r="F29" t="str">
            <v>AC</v>
          </cell>
          <cell r="G29" t="str">
            <v>https://www.ifbappliances.com/ci1333e113gn1</v>
          </cell>
          <cell r="H29">
            <v>55990</v>
          </cell>
          <cell r="I29">
            <v>16790</v>
          </cell>
          <cell r="J29">
            <v>33594</v>
          </cell>
          <cell r="K29" t="str">
            <v>IFB</v>
          </cell>
          <cell r="L29">
            <v>1</v>
          </cell>
          <cell r="M29">
            <v>3</v>
          </cell>
          <cell r="N29" t="str">
            <v>Ivory</v>
          </cell>
          <cell r="O29" t="str">
            <v>WiFi</v>
          </cell>
          <cell r="P29" t="str">
            <v>8in1</v>
          </cell>
          <cell r="Q29" t="str">
            <v>Filter Clean Indicator</v>
          </cell>
          <cell r="R29" t="str">
            <v>HD Compressor</v>
          </cell>
          <cell r="S29" t="str">
            <v>Dual Goldfin Heat Exchanger</v>
          </cell>
          <cell r="T29" t="str">
            <v>Nano-Tek Coating</v>
          </cell>
          <cell r="U29" t="str">
            <v>Fireproof ECB</v>
          </cell>
          <cell r="V29" t="str">
            <v>Copper Piping</v>
          </cell>
          <cell r="W29" t="str">
            <v>Air Cooled PCB</v>
          </cell>
          <cell r="X29" t="str">
            <v>Automotive Grade Coating on ODU</v>
          </cell>
          <cell r="Z29" t="str">
            <v>Smart AC</v>
          </cell>
          <cell r="AA29" t="str">
            <v>Aerodynamic Blower</v>
          </cell>
          <cell r="AB29" t="str">
            <v>Airflower Direction</v>
          </cell>
          <cell r="AC29" t="str">
            <v>Dust Filter</v>
          </cell>
          <cell r="AD29" t="str">
            <v>Aroma Diffuser</v>
          </cell>
          <cell r="AJ29" t="str">
            <v>Turbo Mode</v>
          </cell>
          <cell r="AK29" t="str">
            <v>Feel Mode</v>
          </cell>
          <cell r="AL29" t="str">
            <v>Cool Mode</v>
          </cell>
          <cell r="AM29" t="str">
            <v>Dry Mode</v>
          </cell>
          <cell r="AN29" t="str">
            <v>Fan Mode</v>
          </cell>
          <cell r="AP29" t="str">
            <v>Sleep Mode</v>
          </cell>
          <cell r="AQ29" t="str">
            <v>Eco Mode</v>
          </cell>
          <cell r="AS29" t="str">
            <v>B</v>
          </cell>
        </row>
        <row r="30">
          <cell r="B30" t="str">
            <v>IAHI24X23G3C</v>
          </cell>
          <cell r="C30">
            <v>8903287205132</v>
          </cell>
          <cell r="D30" t="str">
            <v>SPLIT AC 2.0T IAHI24X23G3C - IDU, ACMIU, 67990</v>
          </cell>
          <cell r="E30" t="str">
            <v>AC</v>
          </cell>
          <cell r="F30" t="str">
            <v>AC</v>
          </cell>
          <cell r="G30" t="str">
            <v>https://www.ifbappliances.com/iahi24x23g3c</v>
          </cell>
          <cell r="H30">
            <v>67990</v>
          </cell>
          <cell r="I30">
            <v>67990</v>
          </cell>
          <cell r="J30">
            <v>57791.5</v>
          </cell>
          <cell r="K30" t="str">
            <v>IFB</v>
          </cell>
          <cell r="L30">
            <v>2</v>
          </cell>
          <cell r="M30">
            <v>3</v>
          </cell>
          <cell r="N30" t="str">
            <v>Ivory</v>
          </cell>
          <cell r="S30" t="str">
            <v>Dual Goldfin Heat Exchanger</v>
          </cell>
          <cell r="V30" t="str">
            <v>Copper Piping</v>
          </cell>
          <cell r="W30" t="str">
            <v>Air Cooled PCB</v>
          </cell>
          <cell r="AA30" t="str">
            <v>Aerodynamic Blower</v>
          </cell>
          <cell r="AB30" t="str">
            <v>Airflower Direction</v>
          </cell>
          <cell r="AC30" t="str">
            <v>Dust Filter</v>
          </cell>
          <cell r="AD30" t="str">
            <v>Aroma Diffuser</v>
          </cell>
          <cell r="AJ30" t="str">
            <v>Turbo Mode</v>
          </cell>
          <cell r="AK30" t="str">
            <v>Feel Mode</v>
          </cell>
          <cell r="AL30" t="str">
            <v>Cool Mode</v>
          </cell>
          <cell r="AM30" t="str">
            <v>Dry Mode</v>
          </cell>
          <cell r="AN30" t="str">
            <v>Fan Mode</v>
          </cell>
          <cell r="AO30" t="str">
            <v>Heat Mode</v>
          </cell>
          <cell r="AP30" t="str">
            <v>Sleep Mode</v>
          </cell>
          <cell r="AQ30" t="str">
            <v>Eco Mode</v>
          </cell>
          <cell r="AR30" t="str">
            <v>LED</v>
          </cell>
          <cell r="AS30" t="str">
            <v>A+</v>
          </cell>
        </row>
        <row r="31">
          <cell r="B31" t="str">
            <v>C12432A323G4</v>
          </cell>
          <cell r="E31" t="str">
            <v>AC</v>
          </cell>
          <cell r="F31" t="str">
            <v>AC</v>
          </cell>
          <cell r="G31" t="str">
            <v>https://www.ifbappliances.com/c12432a323g4</v>
          </cell>
          <cell r="H31">
            <v>79990</v>
          </cell>
          <cell r="J31">
            <v>65591.8</v>
          </cell>
          <cell r="K31" t="str">
            <v>IFB</v>
          </cell>
          <cell r="L31">
            <v>2</v>
          </cell>
          <cell r="M31">
            <v>3</v>
          </cell>
          <cell r="N31" t="str">
            <v>Ivory</v>
          </cell>
          <cell r="O31" t="str">
            <v>WiFi</v>
          </cell>
          <cell r="P31" t="str">
            <v>8in1</v>
          </cell>
          <cell r="Q31" t="str">
            <v>Filter Clean Indicator</v>
          </cell>
          <cell r="R31" t="str">
            <v>HD Compressor</v>
          </cell>
          <cell r="S31" t="str">
            <v>Dual Goldfin Heat Exchanger</v>
          </cell>
          <cell r="T31" t="str">
            <v>Nano-Tek Coating</v>
          </cell>
          <cell r="U31" t="str">
            <v>Fireproof ECB</v>
          </cell>
          <cell r="V31" t="str">
            <v>Copper Piping</v>
          </cell>
          <cell r="W31" t="str">
            <v>Air Cooled PCB</v>
          </cell>
          <cell r="X31" t="str">
            <v>Automotive Grade Coating on ODU</v>
          </cell>
          <cell r="AA31" t="str">
            <v>Aerodynamic Blower</v>
          </cell>
          <cell r="AB31" t="str">
            <v>Airflower Direction</v>
          </cell>
          <cell r="AC31" t="str">
            <v>Dust Filter</v>
          </cell>
          <cell r="AD31" t="str">
            <v>Aroma Diffuser</v>
          </cell>
          <cell r="AJ31" t="str">
            <v>Turbo Mode</v>
          </cell>
          <cell r="AK31" t="str">
            <v>Feel Mode</v>
          </cell>
          <cell r="AL31" t="str">
            <v>Cool Mode</v>
          </cell>
          <cell r="AM31" t="str">
            <v>Dry Mode</v>
          </cell>
          <cell r="AN31" t="str">
            <v>Fan Mode</v>
          </cell>
          <cell r="AP31" t="str">
            <v>Sleep Mode</v>
          </cell>
          <cell r="AQ31" t="str">
            <v>Eco Mode</v>
          </cell>
          <cell r="AR31" t="str">
            <v>LED</v>
          </cell>
          <cell r="AS31" t="str">
            <v>A++</v>
          </cell>
        </row>
        <row r="32">
          <cell r="B32" t="str">
            <v>CI1833E223GN1</v>
          </cell>
          <cell r="C32">
            <v>8903287206634</v>
          </cell>
          <cell r="D32" t="str">
            <v>SPLIT AC 1.5 T CI1833E223GN1 - IDU, ACMIU, 65990</v>
          </cell>
          <cell r="E32" t="str">
            <v>AC</v>
          </cell>
          <cell r="F32" t="str">
            <v>AC</v>
          </cell>
          <cell r="G32" t="str">
            <v>https://www.ifbappliances.com/ci1833e223gn1</v>
          </cell>
          <cell r="H32">
            <v>65990</v>
          </cell>
          <cell r="I32">
            <v>65990</v>
          </cell>
          <cell r="J32">
            <v>39594</v>
          </cell>
          <cell r="K32" t="str">
            <v>IFB</v>
          </cell>
          <cell r="L32">
            <v>1.5</v>
          </cell>
          <cell r="M32">
            <v>3</v>
          </cell>
          <cell r="N32" t="str">
            <v>Ivory</v>
          </cell>
          <cell r="O32" t="str">
            <v>WiFi</v>
          </cell>
          <cell r="P32" t="str">
            <v>8in1</v>
          </cell>
          <cell r="Q32" t="str">
            <v>Filter Clean Indicator</v>
          </cell>
          <cell r="R32" t="str">
            <v>HD Compressor</v>
          </cell>
          <cell r="S32" t="str">
            <v>Dual Goldfin Heat Exchanger</v>
          </cell>
          <cell r="T32" t="str">
            <v>Nano-Tek Coating</v>
          </cell>
          <cell r="U32" t="str">
            <v>Fireproof ECB</v>
          </cell>
          <cell r="V32" t="str">
            <v>Copper Piping</v>
          </cell>
          <cell r="W32" t="str">
            <v>Air Cooled PCB</v>
          </cell>
          <cell r="X32" t="str">
            <v>Automotive Grade Coating on ODU</v>
          </cell>
          <cell r="Z32" t="str">
            <v>Smart AC</v>
          </cell>
          <cell r="AA32" t="str">
            <v>Aerodynamic Blower</v>
          </cell>
          <cell r="AB32" t="str">
            <v>Airflower Direction</v>
          </cell>
          <cell r="AC32" t="str">
            <v>Dust Filter</v>
          </cell>
          <cell r="AD32" t="str">
            <v>Aroma Diffuser</v>
          </cell>
          <cell r="AJ32" t="str">
            <v>Turbo Mode</v>
          </cell>
          <cell r="AK32" t="str">
            <v>Feel Mode</v>
          </cell>
          <cell r="AL32" t="str">
            <v>Cool Mode</v>
          </cell>
          <cell r="AM32" t="str">
            <v>Dry Mode</v>
          </cell>
          <cell r="AN32" t="str">
            <v>Fan Mode</v>
          </cell>
          <cell r="AP32" t="str">
            <v>Sleep Mode</v>
          </cell>
          <cell r="AQ32" t="str">
            <v>Eco Mode</v>
          </cell>
          <cell r="AS32" t="str">
            <v>A</v>
          </cell>
        </row>
      </sheetData>
      <sheetData sheetId="7">
        <row r="2">
          <cell r="B2" t="str">
            <v>Executive ZXS</v>
          </cell>
          <cell r="C2">
            <v>8903287024528</v>
          </cell>
          <cell r="D2" t="str">
            <v>WD EXECUTIVE ZXS 8.5/6.5 KG, WD, 73990</v>
          </cell>
          <cell r="E2" t="str">
            <v>WD</v>
          </cell>
          <cell r="F2" t="str">
            <v>WD</v>
          </cell>
          <cell r="G2" t="str">
            <v>https://www.ifbappliances.com/executive-zxs-8-5-6-5-2-5-1400rpm</v>
          </cell>
          <cell r="H2">
            <v>73990</v>
          </cell>
          <cell r="I2">
            <v>68070.8</v>
          </cell>
          <cell r="J2" t="str">
            <v>IFB</v>
          </cell>
          <cell r="K2" t="str">
            <v>8.5/6.5/2.5</v>
          </cell>
          <cell r="L2">
            <v>1400</v>
          </cell>
          <cell r="M2">
            <v>75</v>
          </cell>
          <cell r="N2">
            <v>5</v>
          </cell>
          <cell r="O2">
            <v>8.9</v>
          </cell>
          <cell r="P2">
            <v>0.06</v>
          </cell>
          <cell r="Q2" t="str">
            <v>Silver</v>
          </cell>
          <cell r="R2" t="str">
            <v>LED</v>
          </cell>
          <cell r="S2" t="str">
            <v>AI</v>
          </cell>
          <cell r="T2" t="str">
            <v>Power Steam</v>
          </cell>
          <cell r="U2" t="str">
            <v>Eco Inverter Motor</v>
          </cell>
          <cell r="V2" t="str">
            <v>Aqua Energie</v>
          </cell>
          <cell r="W2" t="str">
            <v>3D Wash System</v>
          </cell>
          <cell r="X2" t="str">
            <v>Refresh</v>
          </cell>
          <cell r="Y2" t="str">
            <v>9 Swirl</v>
          </cell>
          <cell r="Z2" t="str">
            <v>WiFi</v>
          </cell>
          <cell r="AA2" t="str">
            <v>Voice</v>
          </cell>
          <cell r="AC2" t="str">
            <v>Anti Alergen</v>
          </cell>
          <cell r="AD2" t="str">
            <v>Express 15</v>
          </cell>
          <cell r="AE2" t="str">
            <v>Auto Imbalance Vibration</v>
          </cell>
          <cell r="AF2" t="str">
            <v>High Low Voltage Protection</v>
          </cell>
          <cell r="AG2" t="str">
            <v>Foam Detection</v>
          </cell>
          <cell r="AH2" t="str">
            <v>Auto Restart</v>
          </cell>
          <cell r="AI2" t="str">
            <v>Self Diagnosis</v>
          </cell>
          <cell r="AJ2" t="str">
            <v>Steam</v>
          </cell>
          <cell r="AK2" t="str">
            <v>Prewash</v>
          </cell>
          <cell r="AM2" t="str">
            <v>Extra Rinse</v>
          </cell>
          <cell r="AN2" t="str">
            <v>Hot Rinse</v>
          </cell>
          <cell r="AO2" t="str">
            <v>Anticrease</v>
          </cell>
          <cell r="AP2" t="str">
            <v>Aroma</v>
          </cell>
          <cell r="AQ2" t="str">
            <v>Multiple Drying Options</v>
          </cell>
          <cell r="AR2" t="str">
            <v>A++</v>
          </cell>
        </row>
        <row r="3">
          <cell r="B3" t="str">
            <v>Executive ZXB</v>
          </cell>
          <cell r="C3">
            <v>8903287030178</v>
          </cell>
          <cell r="D3" t="str">
            <v>WD EXECUTIVE ZXB 8.5/6.5 KG, WD, 78490</v>
          </cell>
          <cell r="E3" t="str">
            <v>WD</v>
          </cell>
          <cell r="F3" t="str">
            <v>WD</v>
          </cell>
          <cell r="G3" t="str">
            <v>https://www.ifbappliances.com/executive-zxb</v>
          </cell>
          <cell r="H3">
            <v>78490</v>
          </cell>
          <cell r="I3">
            <v>72210.8</v>
          </cell>
          <cell r="J3" t="str">
            <v>IFB</v>
          </cell>
          <cell r="K3" t="str">
            <v>8.5/6.5/2.5</v>
          </cell>
          <cell r="L3">
            <v>1400</v>
          </cell>
          <cell r="M3">
            <v>75</v>
          </cell>
          <cell r="N3">
            <v>5</v>
          </cell>
          <cell r="O3">
            <v>8.9</v>
          </cell>
          <cell r="P3">
            <v>0.06</v>
          </cell>
          <cell r="Q3" t="str">
            <v>Black</v>
          </cell>
          <cell r="R3" t="str">
            <v>LED</v>
          </cell>
          <cell r="S3" t="str">
            <v>AI</v>
          </cell>
          <cell r="T3" t="str">
            <v>Power Steam</v>
          </cell>
          <cell r="U3" t="str">
            <v>Eco Inverter Motor</v>
          </cell>
          <cell r="V3" t="str">
            <v>Aqua Energie</v>
          </cell>
          <cell r="W3" t="str">
            <v>3D Wash System</v>
          </cell>
          <cell r="X3" t="str">
            <v>Refresh</v>
          </cell>
          <cell r="Y3" t="str">
            <v>9 Swirl</v>
          </cell>
          <cell r="Z3" t="str">
            <v>WiFi</v>
          </cell>
          <cell r="AC3" t="str">
            <v>Anti Alergen</v>
          </cell>
          <cell r="AD3" t="str">
            <v>Express 15</v>
          </cell>
          <cell r="AE3" t="str">
            <v>Auto Imbalance Vibration</v>
          </cell>
          <cell r="AF3" t="str">
            <v>High Low Voltage Protection</v>
          </cell>
          <cell r="AG3" t="str">
            <v>Foam Detection</v>
          </cell>
          <cell r="AH3" t="str">
            <v>Auto Restart</v>
          </cell>
          <cell r="AI3" t="str">
            <v>Self Diagnosis</v>
          </cell>
          <cell r="AJ3" t="str">
            <v>Steam</v>
          </cell>
          <cell r="AK3" t="str">
            <v>Prewash</v>
          </cell>
          <cell r="AM3" t="str">
            <v>Extra Rinse</v>
          </cell>
          <cell r="AP3" t="str">
            <v>Aroma</v>
          </cell>
          <cell r="AQ3" t="str">
            <v>Multiple Drying Options</v>
          </cell>
          <cell r="AR3" t="str">
            <v>A++</v>
          </cell>
        </row>
        <row r="4">
          <cell r="B4" t="str">
            <v>Executive ZXV</v>
          </cell>
          <cell r="C4">
            <v>8903287030161</v>
          </cell>
          <cell r="D4" t="str">
            <v>WD EXECUTIVE ZXV 8.5/6.5 KG, WD, 78990</v>
          </cell>
          <cell r="E4" t="str">
            <v>WD</v>
          </cell>
          <cell r="F4" t="str">
            <v>WD</v>
          </cell>
          <cell r="G4" t="str">
            <v>https://www.ifbappliances.com/executive-zxv</v>
          </cell>
          <cell r="H4">
            <v>78990</v>
          </cell>
          <cell r="I4">
            <v>72670.8</v>
          </cell>
          <cell r="J4" t="str">
            <v>IFB</v>
          </cell>
          <cell r="K4" t="str">
            <v>8.5/6.5/2.5</v>
          </cell>
          <cell r="L4">
            <v>1400</v>
          </cell>
          <cell r="M4">
            <v>75</v>
          </cell>
          <cell r="N4">
            <v>5</v>
          </cell>
          <cell r="O4">
            <v>8.9</v>
          </cell>
          <cell r="P4">
            <v>0.06</v>
          </cell>
          <cell r="Q4" t="str">
            <v>SUS</v>
          </cell>
          <cell r="R4" t="str">
            <v>LED</v>
          </cell>
          <cell r="S4" t="str">
            <v>AI</v>
          </cell>
          <cell r="T4" t="str">
            <v>Power Steam</v>
          </cell>
          <cell r="U4" t="str">
            <v>Eco Inverter Motor</v>
          </cell>
          <cell r="V4" t="str">
            <v>Aqua Energie</v>
          </cell>
          <cell r="W4" t="str">
            <v>3D Wash System</v>
          </cell>
          <cell r="X4" t="str">
            <v>Refresh</v>
          </cell>
          <cell r="Y4" t="str">
            <v>9 Swirl</v>
          </cell>
          <cell r="Z4" t="str">
            <v>WiFi</v>
          </cell>
          <cell r="AC4" t="str">
            <v>Anti Alergen</v>
          </cell>
          <cell r="AD4" t="str">
            <v>Express 15</v>
          </cell>
          <cell r="AE4" t="str">
            <v>Auto Imbalance Vibration</v>
          </cell>
          <cell r="AF4" t="str">
            <v>High Low Voltage Protection</v>
          </cell>
          <cell r="AG4" t="str">
            <v>Foam Detection</v>
          </cell>
          <cell r="AH4" t="str">
            <v>Auto Restart</v>
          </cell>
          <cell r="AI4" t="str">
            <v>Self Diagnosis</v>
          </cell>
          <cell r="AJ4" t="str">
            <v>Steam</v>
          </cell>
          <cell r="AK4" t="str">
            <v>Prewash</v>
          </cell>
          <cell r="AM4" t="str">
            <v>Extra Rinse</v>
          </cell>
          <cell r="AP4" t="str">
            <v>Aroma</v>
          </cell>
          <cell r="AQ4" t="str">
            <v>Multiple Drying Options</v>
          </cell>
          <cell r="AR4" t="str">
            <v>A++</v>
          </cell>
        </row>
        <row r="5">
          <cell r="B5" t="str">
            <v>Executive ZXM</v>
          </cell>
          <cell r="C5">
            <v>8903287024535</v>
          </cell>
          <cell r="D5" t="str">
            <v>WD EXECUTIVE ZXM 8.5/6.5 KG, WD, 76990</v>
          </cell>
          <cell r="E5" t="str">
            <v>WD</v>
          </cell>
          <cell r="F5" t="str">
            <v>WD</v>
          </cell>
          <cell r="G5" t="str">
            <v>https://www.ifbappliances.com/executive-zxm-8-5-6-5-2-5-1400rpm</v>
          </cell>
          <cell r="H5">
            <v>76990</v>
          </cell>
          <cell r="I5">
            <v>70830.8</v>
          </cell>
          <cell r="J5" t="str">
            <v>IFB</v>
          </cell>
          <cell r="K5" t="str">
            <v>8.5/6.5/2.5</v>
          </cell>
          <cell r="L5">
            <v>1400</v>
          </cell>
          <cell r="M5">
            <v>75</v>
          </cell>
          <cell r="N5">
            <v>5</v>
          </cell>
          <cell r="O5">
            <v>8.9</v>
          </cell>
          <cell r="P5">
            <v>0.06</v>
          </cell>
          <cell r="Q5" t="str">
            <v>Mocha</v>
          </cell>
          <cell r="R5" t="str">
            <v>LED</v>
          </cell>
          <cell r="S5" t="str">
            <v>AI</v>
          </cell>
          <cell r="T5" t="str">
            <v>Power Steam</v>
          </cell>
          <cell r="U5" t="str">
            <v>Eco Inverter Motor</v>
          </cell>
          <cell r="V5" t="str">
            <v>Aqua Energie</v>
          </cell>
          <cell r="W5" t="str">
            <v>3D Wash System</v>
          </cell>
          <cell r="X5" t="str">
            <v>Refresh</v>
          </cell>
          <cell r="Y5" t="str">
            <v>9 Swirl</v>
          </cell>
          <cell r="Z5" t="str">
            <v>WiFi</v>
          </cell>
          <cell r="AA5" t="str">
            <v>Voice</v>
          </cell>
          <cell r="AC5" t="str">
            <v>Anti Alergen</v>
          </cell>
          <cell r="AD5" t="str">
            <v>Express 15</v>
          </cell>
          <cell r="AE5" t="str">
            <v>Auto Imbalance Vibration</v>
          </cell>
          <cell r="AF5" t="str">
            <v>High Low Voltage Protection</v>
          </cell>
          <cell r="AG5" t="str">
            <v>Foam Detection</v>
          </cell>
          <cell r="AH5" t="str">
            <v>Auto Restart</v>
          </cell>
          <cell r="AI5" t="str">
            <v>Self Diagnosis</v>
          </cell>
          <cell r="AJ5" t="str">
            <v>Steam</v>
          </cell>
          <cell r="AK5" t="str">
            <v>Prewash</v>
          </cell>
          <cell r="AM5" t="str">
            <v>Extra Rinse</v>
          </cell>
          <cell r="AN5" t="str">
            <v>Hot Rinse</v>
          </cell>
          <cell r="AO5" t="str">
            <v>Anticrease</v>
          </cell>
          <cell r="AP5" t="str">
            <v>Aroma</v>
          </cell>
          <cell r="AQ5" t="str">
            <v>Multiple Drying Options</v>
          </cell>
          <cell r="AR5" t="str">
            <v>A++</v>
          </cell>
        </row>
      </sheetData>
      <sheetData sheetId="8">
        <row r="2">
          <cell r="B2" t="str">
            <v>IFBDC-2235IBB</v>
          </cell>
          <cell r="D2" t="str">
            <v>RF</v>
          </cell>
          <cell r="E2" t="str">
            <v>RF-S</v>
          </cell>
          <cell r="F2" t="str">
            <v>https://www.ifbappliances.com/ifbdc-2235ibb</v>
          </cell>
          <cell r="G2">
            <v>23650</v>
          </cell>
          <cell r="H2">
            <v>21758</v>
          </cell>
          <cell r="I2" t="str">
            <v>IFB</v>
          </cell>
          <cell r="J2">
            <v>212</v>
          </cell>
          <cell r="K2">
            <v>40</v>
          </cell>
          <cell r="L2">
            <v>4</v>
          </cell>
          <cell r="M2" t="str">
            <v>Black</v>
          </cell>
          <cell r="N2" t="str">
            <v>Converti Cool</v>
          </cell>
          <cell r="O2" t="str">
            <v>Copper Boost</v>
          </cell>
          <cell r="P2" t="str">
            <v>Quadra Crisper Cober</v>
          </cell>
          <cell r="Q2" t="str">
            <v>Metal Ice Tray</v>
          </cell>
          <cell r="R2" t="str">
            <v>Egg Tray</v>
          </cell>
          <cell r="S2" t="str">
            <v>Toughened Glass Shelves - 3</v>
          </cell>
          <cell r="T2" t="str">
            <v>White LED Bulb</v>
          </cell>
          <cell r="U2" t="str">
            <v>Smart Camera</v>
          </cell>
          <cell r="V2" t="str">
            <v>XL Bottle Bin</v>
          </cell>
          <cell r="Y2" t="str">
            <v>Fixed Speed Compressor</v>
          </cell>
          <cell r="Z2" t="str">
            <v>R600A Refrigerant</v>
          </cell>
          <cell r="AA2" t="str">
            <v>A</v>
          </cell>
        </row>
        <row r="3">
          <cell r="B3" t="str">
            <v>IFBDC-2235IRP</v>
          </cell>
          <cell r="D3" t="str">
            <v>RF</v>
          </cell>
          <cell r="E3" t="str">
            <v>RF-S</v>
          </cell>
          <cell r="F3" t="str">
            <v>https://www.ifbappliances.com/ifbdc-2235irp</v>
          </cell>
          <cell r="G3">
            <v>23900</v>
          </cell>
          <cell r="H3">
            <v>21988</v>
          </cell>
          <cell r="I3" t="str">
            <v>IFB</v>
          </cell>
          <cell r="J3">
            <v>203</v>
          </cell>
          <cell r="K3">
            <v>36</v>
          </cell>
          <cell r="L3">
            <v>5</v>
          </cell>
          <cell r="M3" t="str">
            <v>Blue</v>
          </cell>
          <cell r="N3" t="str">
            <v>Converti Cool</v>
          </cell>
          <cell r="O3" t="str">
            <v>Copper Boost</v>
          </cell>
          <cell r="P3" t="str">
            <v>Quadra Crisper Cober</v>
          </cell>
          <cell r="Q3" t="str">
            <v>Metal Ice Tray</v>
          </cell>
          <cell r="R3" t="str">
            <v>Egg Tray</v>
          </cell>
          <cell r="S3" t="str">
            <v>Toughened Glass Shelves - 3</v>
          </cell>
          <cell r="T3" t="str">
            <v>White LED Bulb</v>
          </cell>
          <cell r="V3" t="str">
            <v>XL Bottle Bin</v>
          </cell>
          <cell r="W3" t="str">
            <v>Lock &amp; Key</v>
          </cell>
          <cell r="Y3" t="str">
            <v>Inverter Compressor</v>
          </cell>
          <cell r="Z3" t="str">
            <v>R600A Refrigerant</v>
          </cell>
          <cell r="AA3" t="str">
            <v>A</v>
          </cell>
        </row>
        <row r="4">
          <cell r="B4" t="str">
            <v>IFBDC-2235IBP</v>
          </cell>
          <cell r="D4" t="str">
            <v>RF</v>
          </cell>
          <cell r="E4" t="str">
            <v>RF-S</v>
          </cell>
          <cell r="F4" t="str">
            <v>https://www.ifbappliances.com/ifbdc-2235ibp</v>
          </cell>
          <cell r="G4">
            <v>23900</v>
          </cell>
          <cell r="H4">
            <v>21988</v>
          </cell>
          <cell r="I4" t="str">
            <v>IFB</v>
          </cell>
          <cell r="J4">
            <v>203</v>
          </cell>
          <cell r="K4">
            <v>36</v>
          </cell>
          <cell r="L4">
            <v>5</v>
          </cell>
          <cell r="M4" t="str">
            <v>Blue</v>
          </cell>
          <cell r="N4" t="str">
            <v>Converti Cool</v>
          </cell>
          <cell r="O4" t="str">
            <v>Copper Boost</v>
          </cell>
          <cell r="P4" t="str">
            <v>Quadra Crisper Cober</v>
          </cell>
          <cell r="Q4" t="str">
            <v>Metal Ice Tray</v>
          </cell>
          <cell r="R4" t="str">
            <v>Egg Tray</v>
          </cell>
          <cell r="S4" t="str">
            <v>Toughened Glass Shelves - 3</v>
          </cell>
          <cell r="T4" t="str">
            <v>White LED Bulb</v>
          </cell>
          <cell r="V4" t="str">
            <v>XL Bottle Bin</v>
          </cell>
          <cell r="W4" t="str">
            <v>Lock &amp; Key</v>
          </cell>
          <cell r="Y4" t="str">
            <v>Inverter Compressor</v>
          </cell>
          <cell r="Z4" t="str">
            <v>R600A Refrigerant</v>
          </cell>
          <cell r="AA4" t="str">
            <v>A</v>
          </cell>
        </row>
        <row r="5">
          <cell r="B5" t="str">
            <v>IFBDC-2325IRP</v>
          </cell>
          <cell r="D5" t="str">
            <v>RF</v>
          </cell>
          <cell r="E5" t="str">
            <v>RF-S</v>
          </cell>
          <cell r="F5" t="str">
            <v>https://www.ifbappliances.com/ifbdc-2325irp</v>
          </cell>
          <cell r="G5">
            <v>26200</v>
          </cell>
          <cell r="H5">
            <v>24104</v>
          </cell>
          <cell r="I5" t="str">
            <v>IFB</v>
          </cell>
          <cell r="J5">
            <v>212</v>
          </cell>
          <cell r="K5">
            <v>37</v>
          </cell>
          <cell r="L5">
            <v>5</v>
          </cell>
          <cell r="M5" t="str">
            <v>Red</v>
          </cell>
          <cell r="N5" t="str">
            <v>Converti Cool</v>
          </cell>
          <cell r="O5" t="str">
            <v>Copper Boost</v>
          </cell>
          <cell r="P5" t="str">
            <v>Quadra Crisper Cober</v>
          </cell>
          <cell r="Q5" t="str">
            <v>Metal Ice Tray</v>
          </cell>
          <cell r="R5" t="str">
            <v>Egg Tray</v>
          </cell>
          <cell r="S5" t="str">
            <v>Toughened Glass Shelves - 3</v>
          </cell>
          <cell r="T5" t="str">
            <v>White LED Bulb</v>
          </cell>
          <cell r="V5" t="str">
            <v>XL Bottle Bin</v>
          </cell>
          <cell r="W5" t="str">
            <v>Lock &amp; Key</v>
          </cell>
          <cell r="Y5" t="str">
            <v>Inverter Compressor</v>
          </cell>
          <cell r="Z5" t="str">
            <v>R600A Refrigerant</v>
          </cell>
          <cell r="AA5" t="str">
            <v>A+</v>
          </cell>
        </row>
        <row r="6">
          <cell r="B6" t="str">
            <v>IFBDC-2325IBP</v>
          </cell>
          <cell r="D6" t="str">
            <v>RF</v>
          </cell>
          <cell r="E6" t="str">
            <v>RF-S</v>
          </cell>
          <cell r="F6" t="str">
            <v>https://www.ifbappliances.com/ifbdc-2325ibp</v>
          </cell>
          <cell r="G6">
            <v>26200</v>
          </cell>
          <cell r="H6">
            <v>24104</v>
          </cell>
          <cell r="I6" t="str">
            <v>IFB</v>
          </cell>
          <cell r="J6">
            <v>212</v>
          </cell>
          <cell r="K6">
            <v>37</v>
          </cell>
          <cell r="L6">
            <v>5</v>
          </cell>
          <cell r="M6" t="str">
            <v>Blue</v>
          </cell>
          <cell r="N6" t="str">
            <v>Converti Cool</v>
          </cell>
          <cell r="O6" t="str">
            <v>Copper Boost</v>
          </cell>
          <cell r="P6" t="str">
            <v>Quadra Crisper Cober</v>
          </cell>
          <cell r="Q6" t="str">
            <v>Metal Ice Tray</v>
          </cell>
          <cell r="R6" t="str">
            <v>Egg Tray</v>
          </cell>
          <cell r="S6" t="str">
            <v>Toughened Glass Shelves - 3</v>
          </cell>
          <cell r="T6" t="str">
            <v>White LED Bulb</v>
          </cell>
          <cell r="V6" t="str">
            <v>XL Bottle Bin</v>
          </cell>
          <cell r="W6" t="str">
            <v>Lock &amp; Key</v>
          </cell>
          <cell r="Y6" t="str">
            <v>Inverter Compressor</v>
          </cell>
          <cell r="Z6" t="str">
            <v>R600A Refrigerant</v>
          </cell>
          <cell r="AA6" t="str">
            <v>A+</v>
          </cell>
        </row>
        <row r="7">
          <cell r="B7" t="str">
            <v>IFBDC-2132FKG</v>
          </cell>
          <cell r="D7" t="str">
            <v>RF</v>
          </cell>
          <cell r="E7" t="str">
            <v>RF-S</v>
          </cell>
          <cell r="F7" t="str">
            <v>https://www.ifbappliances.com/ifbdc-2132fkg</v>
          </cell>
          <cell r="G7">
            <v>21550</v>
          </cell>
          <cell r="H7">
            <v>19826</v>
          </cell>
          <cell r="I7" t="str">
            <v>IFB</v>
          </cell>
          <cell r="J7">
            <v>193</v>
          </cell>
          <cell r="K7">
            <v>36</v>
          </cell>
          <cell r="L7">
            <v>2</v>
          </cell>
          <cell r="M7" t="str">
            <v>Black</v>
          </cell>
          <cell r="N7" t="str">
            <v>Converti Cool</v>
          </cell>
          <cell r="O7" t="str">
            <v>Copper Boost</v>
          </cell>
          <cell r="P7" t="str">
            <v>Quadra Crisper Cober</v>
          </cell>
          <cell r="Q7" t="str">
            <v>Metal Ice Tray</v>
          </cell>
          <cell r="R7" t="str">
            <v>Egg Tray</v>
          </cell>
          <cell r="S7" t="str">
            <v>Toughened Glass Shelves - 2</v>
          </cell>
          <cell r="T7" t="str">
            <v>White LED Bulb</v>
          </cell>
          <cell r="V7" t="str">
            <v>XL Bottle Bin</v>
          </cell>
          <cell r="Y7" t="str">
            <v>Fixed Speed Compressor</v>
          </cell>
          <cell r="Z7" t="str">
            <v>R600A Refrigerant</v>
          </cell>
          <cell r="AA7" t="str">
            <v>B</v>
          </cell>
        </row>
        <row r="8">
          <cell r="B8" t="str">
            <v>IFBDC-2233FKG</v>
          </cell>
          <cell r="D8" t="str">
            <v>RF</v>
          </cell>
          <cell r="E8" t="str">
            <v>RF-S</v>
          </cell>
          <cell r="F8" t="str">
            <v>https://www.ifbappliances.com/ifbdc-2233fkg</v>
          </cell>
          <cell r="G8">
            <v>23650</v>
          </cell>
          <cell r="H8">
            <v>21758</v>
          </cell>
          <cell r="I8" t="str">
            <v>IFB</v>
          </cell>
          <cell r="J8">
            <v>203</v>
          </cell>
          <cell r="K8">
            <v>39</v>
          </cell>
          <cell r="L8">
            <v>3</v>
          </cell>
          <cell r="M8" t="str">
            <v>Black</v>
          </cell>
          <cell r="N8" t="str">
            <v>Converti Cool</v>
          </cell>
          <cell r="O8" t="str">
            <v>Copper Boost</v>
          </cell>
          <cell r="P8" t="str">
            <v>Quadra Crisper Cober</v>
          </cell>
          <cell r="Q8" t="str">
            <v>Metal Ice Tray</v>
          </cell>
          <cell r="R8" t="str">
            <v>Egg Tray</v>
          </cell>
          <cell r="S8" t="str">
            <v>Toughened Glass Shelves - 3</v>
          </cell>
          <cell r="T8" t="str">
            <v>White LED Bulb</v>
          </cell>
          <cell r="V8" t="str">
            <v>XL Bottle Bin</v>
          </cell>
          <cell r="Y8" t="str">
            <v>Fixed Speed Compressor</v>
          </cell>
          <cell r="Z8" t="str">
            <v>R600A Refrigerant</v>
          </cell>
          <cell r="AA8" t="str">
            <v>A</v>
          </cell>
        </row>
        <row r="9">
          <cell r="B9" t="str">
            <v>IFBDC-2235IKG</v>
          </cell>
          <cell r="D9" t="str">
            <v>RF</v>
          </cell>
          <cell r="E9" t="str">
            <v>RF-S</v>
          </cell>
          <cell r="F9" t="str">
            <v>https://www.ifbappliances.com/ifbdc-2235ikg</v>
          </cell>
          <cell r="G9">
            <v>25050</v>
          </cell>
          <cell r="H9">
            <v>23046</v>
          </cell>
          <cell r="I9" t="str">
            <v>IFB</v>
          </cell>
          <cell r="J9">
            <v>203</v>
          </cell>
          <cell r="K9">
            <v>39</v>
          </cell>
          <cell r="L9">
            <v>5</v>
          </cell>
          <cell r="M9" t="str">
            <v>Black</v>
          </cell>
          <cell r="N9" t="str">
            <v>Converti Cool</v>
          </cell>
          <cell r="O9" t="str">
            <v>Copper Boost</v>
          </cell>
          <cell r="P9" t="str">
            <v>Quadra Crisper Cober</v>
          </cell>
          <cell r="Q9" t="str">
            <v>Metal Ice Tray</v>
          </cell>
          <cell r="R9" t="str">
            <v>Egg Tray</v>
          </cell>
          <cell r="S9" t="str">
            <v>Toughened Glass Shelves - 3</v>
          </cell>
          <cell r="T9" t="str">
            <v>White LED Bulb</v>
          </cell>
          <cell r="V9" t="str">
            <v>XL Bottle Bin</v>
          </cell>
          <cell r="Y9" t="str">
            <v>Fixed Speed Compressor</v>
          </cell>
          <cell r="Z9" t="str">
            <v>R600A Refrigerant</v>
          </cell>
          <cell r="AA9" t="str">
            <v>A+</v>
          </cell>
        </row>
        <row r="10">
          <cell r="B10" t="str">
            <v>IFBDC-2324IKG</v>
          </cell>
          <cell r="D10" t="str">
            <v>RF</v>
          </cell>
          <cell r="E10" t="str">
            <v>RF-S</v>
          </cell>
          <cell r="F10" t="str">
            <v>https://www.ifbappliances.com/ifbdc-2324ikg</v>
          </cell>
          <cell r="G10">
            <v>28250</v>
          </cell>
          <cell r="H10">
            <v>25990</v>
          </cell>
          <cell r="I10" t="str">
            <v>IFB</v>
          </cell>
          <cell r="J10">
            <v>212</v>
          </cell>
          <cell r="K10">
            <v>40</v>
          </cell>
          <cell r="L10">
            <v>4</v>
          </cell>
          <cell r="M10" t="str">
            <v>Black</v>
          </cell>
          <cell r="N10" t="str">
            <v>Converti Cool</v>
          </cell>
          <cell r="O10" t="str">
            <v>Copper Boost</v>
          </cell>
          <cell r="P10" t="str">
            <v>Quadra Crisper Cober</v>
          </cell>
          <cell r="Q10" t="str">
            <v>Metal Ice Tray</v>
          </cell>
          <cell r="R10" t="str">
            <v>Egg Tray</v>
          </cell>
          <cell r="S10" t="str">
            <v>Toughened Glass Shelves - 3</v>
          </cell>
          <cell r="T10" t="str">
            <v>White LED Bulb</v>
          </cell>
          <cell r="U10" t="str">
            <v>Smart Camera</v>
          </cell>
          <cell r="V10" t="str">
            <v>XL Bottle Bin</v>
          </cell>
          <cell r="Y10" t="str">
            <v>Fixed Speed Compressor</v>
          </cell>
          <cell r="Z10" t="str">
            <v>R600A Refrigerant</v>
          </cell>
          <cell r="AA10" t="str">
            <v>A++</v>
          </cell>
        </row>
        <row r="11">
          <cell r="B11" t="str">
            <v>IFBDC - 2325ILG</v>
          </cell>
          <cell r="D11" t="str">
            <v>RF</v>
          </cell>
          <cell r="E11" t="str">
            <v>RF-S</v>
          </cell>
          <cell r="F11" t="str">
            <v>https://www.ifbappliances.com/ifbdc-2325ilg</v>
          </cell>
          <cell r="G11">
            <v>29050</v>
          </cell>
          <cell r="H11">
            <v>26726</v>
          </cell>
          <cell r="I11" t="str">
            <v>IFB</v>
          </cell>
          <cell r="J11">
            <v>212</v>
          </cell>
          <cell r="K11">
            <v>39</v>
          </cell>
          <cell r="L11">
            <v>4</v>
          </cell>
          <cell r="M11" t="str">
            <v>Black</v>
          </cell>
          <cell r="N11" t="str">
            <v>Converti Cool</v>
          </cell>
          <cell r="O11" t="str">
            <v>Copper Boost</v>
          </cell>
          <cell r="P11" t="str">
            <v>Quadra Crisper Cober</v>
          </cell>
          <cell r="Q11" t="str">
            <v>Metal Ice Tray</v>
          </cell>
          <cell r="R11" t="str">
            <v>Egg Tray</v>
          </cell>
          <cell r="S11" t="str">
            <v>Toughened Glass Shelves - 3</v>
          </cell>
          <cell r="T11" t="str">
            <v>White LED Bulb</v>
          </cell>
          <cell r="V11" t="str">
            <v>XL Bottle Bin</v>
          </cell>
          <cell r="Y11" t="str">
            <v>Inverter Compressor</v>
          </cell>
          <cell r="Z11" t="str">
            <v>R600A Refrigerant</v>
          </cell>
          <cell r="AA11" t="str">
            <v>A++</v>
          </cell>
        </row>
        <row r="12">
          <cell r="B12" t="str">
            <v>IFBDC - 2324IRG</v>
          </cell>
          <cell r="D12" t="str">
            <v>RF</v>
          </cell>
          <cell r="E12" t="str">
            <v>RF-S</v>
          </cell>
          <cell r="F12" t="str">
            <v>https://www.ifbappliances.com/ifbdc-2324irg</v>
          </cell>
          <cell r="G12">
            <v>28250</v>
          </cell>
          <cell r="H12">
            <v>25990</v>
          </cell>
          <cell r="I12" t="str">
            <v>IFB</v>
          </cell>
          <cell r="J12">
            <v>212</v>
          </cell>
          <cell r="K12">
            <v>39</v>
          </cell>
          <cell r="L12">
            <v>4</v>
          </cell>
          <cell r="M12" t="str">
            <v>Black</v>
          </cell>
          <cell r="N12" t="str">
            <v>Converti Cool</v>
          </cell>
          <cell r="O12" t="str">
            <v>Copper Boost</v>
          </cell>
          <cell r="P12" t="str">
            <v>Quadra Crisper Cober</v>
          </cell>
          <cell r="Q12" t="str">
            <v>Metal Ice Tray</v>
          </cell>
          <cell r="R12" t="str">
            <v>Egg Tray</v>
          </cell>
          <cell r="S12" t="str">
            <v>Toughened Glass Shelves - 3</v>
          </cell>
          <cell r="T12" t="str">
            <v>White LED Bulb</v>
          </cell>
          <cell r="V12" t="str">
            <v>XL Bottle Bin</v>
          </cell>
          <cell r="Y12" t="str">
            <v>Inverter Compressor</v>
          </cell>
          <cell r="Z12" t="str">
            <v>R600A Refrigerant</v>
          </cell>
          <cell r="AA12" t="str">
            <v>A++</v>
          </cell>
        </row>
        <row r="13">
          <cell r="B13" t="str">
            <v>IFBDC - 2235IRG</v>
          </cell>
          <cell r="D13" t="str">
            <v>RF</v>
          </cell>
          <cell r="E13" t="str">
            <v>RF-S</v>
          </cell>
          <cell r="F13" t="str">
            <v>https://www.ifbappliances.com/ifbdc-2235irg</v>
          </cell>
          <cell r="G13">
            <v>25050</v>
          </cell>
          <cell r="H13">
            <v>23046</v>
          </cell>
          <cell r="I13" t="str">
            <v>IFB</v>
          </cell>
          <cell r="J13">
            <v>203</v>
          </cell>
          <cell r="K13">
            <v>38</v>
          </cell>
          <cell r="L13">
            <v>5</v>
          </cell>
          <cell r="M13" t="str">
            <v>Black</v>
          </cell>
          <cell r="N13" t="str">
            <v>Converti Cool</v>
          </cell>
          <cell r="O13" t="str">
            <v>Copper Boost</v>
          </cell>
          <cell r="P13" t="str">
            <v>Quadra Crisper Cober</v>
          </cell>
          <cell r="Q13" t="str">
            <v>Metal Ice Tray</v>
          </cell>
          <cell r="R13" t="str">
            <v>Egg Tray</v>
          </cell>
          <cell r="S13" t="str">
            <v>Toughened Glass Shelves - 3</v>
          </cell>
          <cell r="T13" t="str">
            <v>White LED Bulb</v>
          </cell>
          <cell r="V13" t="str">
            <v>XL Bottle Bin</v>
          </cell>
          <cell r="Y13" t="str">
            <v>Inverter Compressor</v>
          </cell>
          <cell r="Z13" t="str">
            <v>R600A Refrigerant</v>
          </cell>
          <cell r="AA13" t="str">
            <v>A+</v>
          </cell>
        </row>
        <row r="14">
          <cell r="B14" t="str">
            <v>IFBDC - 2233FFG</v>
          </cell>
          <cell r="D14" t="str">
            <v>RF</v>
          </cell>
          <cell r="E14" t="str">
            <v>RF-S</v>
          </cell>
          <cell r="F14" t="str">
            <v>https://www.ifbappliances.com/ifbdc-2233ffg</v>
          </cell>
          <cell r="G14">
            <v>23650</v>
          </cell>
          <cell r="H14">
            <v>21758</v>
          </cell>
          <cell r="I14" t="str">
            <v>IFB</v>
          </cell>
          <cell r="J14">
            <v>203</v>
          </cell>
          <cell r="K14">
            <v>38</v>
          </cell>
          <cell r="L14">
            <v>3</v>
          </cell>
          <cell r="M14" t="str">
            <v>Black</v>
          </cell>
          <cell r="N14" t="str">
            <v>Converti Cool</v>
          </cell>
          <cell r="O14" t="str">
            <v>Copper Boost</v>
          </cell>
          <cell r="P14" t="str">
            <v>Quadra Crisper Cober</v>
          </cell>
          <cell r="Q14" t="str">
            <v>Metal Ice Tray</v>
          </cell>
          <cell r="R14" t="str">
            <v>Egg Tray</v>
          </cell>
          <cell r="S14" t="str">
            <v>Toughened Glass Shelves - 3</v>
          </cell>
          <cell r="T14" t="str">
            <v>White LED Bulb</v>
          </cell>
          <cell r="V14" t="str">
            <v>XL Bottle Bin</v>
          </cell>
          <cell r="Y14" t="str">
            <v>Fixed Speed Compressor</v>
          </cell>
          <cell r="Z14" t="str">
            <v>R600A Refrigerant</v>
          </cell>
          <cell r="AA14" t="str">
            <v>A</v>
          </cell>
        </row>
        <row r="15">
          <cell r="B15" t="str">
            <v>IFBDC - 2233FLG</v>
          </cell>
          <cell r="D15" t="str">
            <v>RF</v>
          </cell>
          <cell r="E15" t="str">
            <v>RF-S</v>
          </cell>
          <cell r="F15" t="str">
            <v>https://www.ifbappliances.com/ifbdc-2233flg</v>
          </cell>
          <cell r="G15">
            <v>23650</v>
          </cell>
          <cell r="H15">
            <v>21758</v>
          </cell>
          <cell r="I15" t="str">
            <v>IFB</v>
          </cell>
          <cell r="J15">
            <v>203</v>
          </cell>
          <cell r="K15">
            <v>38</v>
          </cell>
          <cell r="L15">
            <v>3</v>
          </cell>
          <cell r="M15" t="str">
            <v>Black</v>
          </cell>
          <cell r="N15" t="str">
            <v>Converti Cool</v>
          </cell>
          <cell r="O15" t="str">
            <v>Copper Boost</v>
          </cell>
          <cell r="P15" t="str">
            <v>Quadra Crisper Cober</v>
          </cell>
          <cell r="Q15" t="str">
            <v>Metal Ice Tray</v>
          </cell>
          <cell r="R15" t="str">
            <v>Egg Tray</v>
          </cell>
          <cell r="S15" t="str">
            <v>Toughened Glass Shelves - 3</v>
          </cell>
          <cell r="T15" t="str">
            <v>White LED Bulb</v>
          </cell>
          <cell r="V15" t="str">
            <v>XL Bottle Bin</v>
          </cell>
          <cell r="Y15" t="str">
            <v>Fixed Speed Compressor</v>
          </cell>
          <cell r="Z15" t="str">
            <v>R600A Refrigerant</v>
          </cell>
          <cell r="AA15" t="str">
            <v>A</v>
          </cell>
        </row>
        <row r="16">
          <cell r="B16" t="str">
            <v>IFBDC - 2133FFG</v>
          </cell>
          <cell r="D16" t="str">
            <v>RF</v>
          </cell>
          <cell r="E16" t="str">
            <v>RF-S</v>
          </cell>
          <cell r="F16" t="str">
            <v>https://www.ifbappliances.com/ifbdc-2133ffg</v>
          </cell>
          <cell r="G16">
            <v>22300</v>
          </cell>
          <cell r="H16">
            <v>20516</v>
          </cell>
          <cell r="I16" t="str">
            <v>IFB</v>
          </cell>
          <cell r="J16">
            <v>193</v>
          </cell>
          <cell r="K16">
            <v>35</v>
          </cell>
          <cell r="L16">
            <v>3</v>
          </cell>
          <cell r="M16" t="str">
            <v>Black</v>
          </cell>
          <cell r="N16" t="str">
            <v>Converti Cool</v>
          </cell>
          <cell r="O16" t="str">
            <v>Copper Boost</v>
          </cell>
          <cell r="P16" t="str">
            <v>Quadra Crisper Cober</v>
          </cell>
          <cell r="Q16" t="str">
            <v>Metal Ice Tray</v>
          </cell>
          <cell r="R16" t="str">
            <v>Egg Tray</v>
          </cell>
          <cell r="S16" t="str">
            <v>Toughened Glass Shelves - 2</v>
          </cell>
          <cell r="T16" t="str">
            <v>White LED Bulb</v>
          </cell>
          <cell r="V16" t="str">
            <v>XL Bottle Bin</v>
          </cell>
          <cell r="Y16" t="str">
            <v>Fixed Speed Compressor</v>
          </cell>
          <cell r="Z16" t="str">
            <v>R600A Refrigerant</v>
          </cell>
          <cell r="AA16" t="str">
            <v>B</v>
          </cell>
        </row>
        <row r="17">
          <cell r="B17" t="str">
            <v>IFBDC - 2133FLG</v>
          </cell>
          <cell r="D17" t="str">
            <v>RF</v>
          </cell>
          <cell r="E17" t="str">
            <v>RF-S</v>
          </cell>
          <cell r="F17" t="str">
            <v>https://www.ifbappliances.com/ifbdc-2133flg</v>
          </cell>
          <cell r="G17">
            <v>22300</v>
          </cell>
          <cell r="H17">
            <v>20516</v>
          </cell>
          <cell r="I17" t="str">
            <v>IFB</v>
          </cell>
          <cell r="J17">
            <v>193</v>
          </cell>
          <cell r="K17">
            <v>35</v>
          </cell>
          <cell r="L17">
            <v>3</v>
          </cell>
          <cell r="M17" t="str">
            <v>Black</v>
          </cell>
          <cell r="N17" t="str">
            <v>Converti Cool</v>
          </cell>
          <cell r="O17" t="str">
            <v>Copper Boost</v>
          </cell>
          <cell r="P17" t="str">
            <v>Quadra Crisper Cober</v>
          </cell>
          <cell r="Q17" t="str">
            <v>Metal Ice Tray</v>
          </cell>
          <cell r="R17" t="str">
            <v>Egg Tray</v>
          </cell>
          <cell r="S17" t="str">
            <v>Toughened Glass Shelves - 2</v>
          </cell>
          <cell r="T17" t="str">
            <v>White LED Bulb</v>
          </cell>
          <cell r="V17" t="str">
            <v>XL Bottle Bin</v>
          </cell>
          <cell r="Y17" t="str">
            <v>Fixed Speed Compressor</v>
          </cell>
          <cell r="Z17" t="str">
            <v>R600A Refrigerant</v>
          </cell>
          <cell r="AA17" t="str">
            <v>B</v>
          </cell>
        </row>
        <row r="18">
          <cell r="B18" t="str">
            <v>IFBDC - 2132FLG</v>
          </cell>
          <cell r="D18" t="str">
            <v>RF</v>
          </cell>
          <cell r="E18" t="str">
            <v>RF-S</v>
          </cell>
          <cell r="F18" t="str">
            <v>https://www.ifbappliances.com/ifbdc-2132flg</v>
          </cell>
          <cell r="G18">
            <v>21550</v>
          </cell>
          <cell r="H18">
            <v>19826</v>
          </cell>
          <cell r="I18" t="str">
            <v>IFB</v>
          </cell>
          <cell r="J18">
            <v>193</v>
          </cell>
          <cell r="K18">
            <v>35</v>
          </cell>
          <cell r="L18">
            <v>2</v>
          </cell>
          <cell r="M18" t="str">
            <v>Black</v>
          </cell>
          <cell r="N18" t="str">
            <v>Converti Cool</v>
          </cell>
          <cell r="O18" t="str">
            <v>Copper Boost</v>
          </cell>
          <cell r="P18" t="str">
            <v>Quadra Crisper Cober</v>
          </cell>
          <cell r="Q18" t="str">
            <v>Metal Ice Tray</v>
          </cell>
          <cell r="R18" t="str">
            <v>Egg Tray</v>
          </cell>
          <cell r="S18" t="str">
            <v>Toughened Glass Shelves - 2</v>
          </cell>
          <cell r="T18" t="str">
            <v>White LED Bulb</v>
          </cell>
          <cell r="V18" t="str">
            <v>XL Bottle Bin</v>
          </cell>
          <cell r="Y18" t="str">
            <v>Fixed Speed Compressor</v>
          </cell>
          <cell r="Z18" t="str">
            <v>R600A Refrigerant</v>
          </cell>
          <cell r="AA18" t="str">
            <v>B</v>
          </cell>
        </row>
        <row r="19">
          <cell r="B19" t="str">
            <v>IFBDC-2483FBS</v>
          </cell>
          <cell r="D19" t="str">
            <v>RF</v>
          </cell>
          <cell r="E19" t="str">
            <v>RF-S</v>
          </cell>
          <cell r="F19" t="str">
            <v>https://www.ifbappliances.com/ifbdc-2483fbs</v>
          </cell>
          <cell r="G19">
            <v>27400</v>
          </cell>
          <cell r="H19">
            <v>25208</v>
          </cell>
          <cell r="I19" t="str">
            <v>IFB</v>
          </cell>
          <cell r="J19">
            <v>228</v>
          </cell>
          <cell r="K19">
            <v>40</v>
          </cell>
          <cell r="L19">
            <v>3</v>
          </cell>
          <cell r="M19" t="str">
            <v>Grey</v>
          </cell>
          <cell r="N19" t="str">
            <v>Converti Cool</v>
          </cell>
          <cell r="O19" t="str">
            <v>Copper Boost</v>
          </cell>
          <cell r="P19" t="str">
            <v>Quadra Crisper Cober</v>
          </cell>
          <cell r="Q19" t="str">
            <v>Metal Ice Tray</v>
          </cell>
          <cell r="R19" t="str">
            <v>Egg Tray</v>
          </cell>
          <cell r="S19" t="str">
            <v>Toughened Glass Shelves - 3</v>
          </cell>
          <cell r="T19" t="str">
            <v>White LED Bulb</v>
          </cell>
          <cell r="V19" t="str">
            <v>XL Bottle Bin</v>
          </cell>
          <cell r="W19" t="str">
            <v>Lock &amp; Key</v>
          </cell>
          <cell r="Y19" t="str">
            <v>Inverter Compressor</v>
          </cell>
          <cell r="Z19" t="str">
            <v>R600A Refrigerant</v>
          </cell>
          <cell r="AA19" t="str">
            <v>A+</v>
          </cell>
        </row>
        <row r="20">
          <cell r="B20" t="str">
            <v>IFBDC-2324IKSU</v>
          </cell>
          <cell r="D20" t="str">
            <v>RF</v>
          </cell>
          <cell r="E20" t="str">
            <v>RF-S</v>
          </cell>
          <cell r="F20" t="str">
            <v>https://www.ifbappliances.com/ifbdc-2324iksu</v>
          </cell>
          <cell r="G20">
            <v>26400</v>
          </cell>
          <cell r="H20">
            <v>24288</v>
          </cell>
          <cell r="I20" t="str">
            <v>IFB</v>
          </cell>
          <cell r="J20">
            <v>212</v>
          </cell>
          <cell r="K20">
            <v>39</v>
          </cell>
          <cell r="L20">
            <v>4</v>
          </cell>
          <cell r="M20" t="str">
            <v>Black</v>
          </cell>
          <cell r="N20" t="str">
            <v>Converti Cool</v>
          </cell>
          <cell r="O20" t="str">
            <v>Copper Boost</v>
          </cell>
          <cell r="P20" t="str">
            <v>Quadra Crisper Cober</v>
          </cell>
          <cell r="Q20" t="str">
            <v>Metal Ice Tray</v>
          </cell>
          <cell r="R20" t="str">
            <v>Egg Tray</v>
          </cell>
          <cell r="S20" t="str">
            <v>Toughened Glass Shelves - 3</v>
          </cell>
          <cell r="T20" t="str">
            <v>White LED Bulb</v>
          </cell>
          <cell r="V20" t="str">
            <v>XL Bottle Bin</v>
          </cell>
          <cell r="W20" t="str">
            <v>Lock &amp; Key</v>
          </cell>
          <cell r="X20" t="str">
            <v>Digital Display</v>
          </cell>
          <cell r="Y20" t="str">
            <v>Inverter Compressor</v>
          </cell>
          <cell r="Z20" t="str">
            <v>R600A Refrigerant</v>
          </cell>
          <cell r="AA20" t="str">
            <v>A+</v>
          </cell>
        </row>
        <row r="21">
          <cell r="B21" t="str">
            <v>IFBDC-2235IRB</v>
          </cell>
          <cell r="D21" t="str">
            <v>RF</v>
          </cell>
          <cell r="E21" t="str">
            <v>RF-S</v>
          </cell>
          <cell r="F21" t="str">
            <v>https://www.ifbappliances.com/ifbdc-2235irb</v>
          </cell>
          <cell r="G21">
            <v>23650</v>
          </cell>
          <cell r="H21">
            <v>21758</v>
          </cell>
          <cell r="I21" t="str">
            <v>IFB</v>
          </cell>
          <cell r="J21">
            <v>203</v>
          </cell>
          <cell r="K21">
            <v>36</v>
          </cell>
          <cell r="L21">
            <v>5</v>
          </cell>
          <cell r="M21" t="str">
            <v>Red</v>
          </cell>
          <cell r="N21" t="str">
            <v>Converti Cool</v>
          </cell>
          <cell r="O21" t="str">
            <v>Copper Boost</v>
          </cell>
          <cell r="P21" t="str">
            <v>Quadra Crisper Cober</v>
          </cell>
          <cell r="Q21" t="str">
            <v>Metal Ice Tray</v>
          </cell>
          <cell r="R21" t="str">
            <v>Egg Tray</v>
          </cell>
          <cell r="S21" t="str">
            <v>Toughened Glass Shelves - 3</v>
          </cell>
          <cell r="T21" t="str">
            <v>White LED Bulb</v>
          </cell>
          <cell r="V21" t="str">
            <v>XL Bottle Bin</v>
          </cell>
          <cell r="W21" t="str">
            <v>Lock &amp; Key</v>
          </cell>
          <cell r="Y21" t="str">
            <v>Inverter Compressor</v>
          </cell>
          <cell r="Z21" t="str">
            <v>R600A Refrigerant</v>
          </cell>
          <cell r="AA21" t="str">
            <v>A</v>
          </cell>
        </row>
        <row r="22">
          <cell r="B22" t="str">
            <v>IFBDC-2235IKS</v>
          </cell>
          <cell r="D22" t="str">
            <v>RF</v>
          </cell>
          <cell r="E22" t="str">
            <v>RF-S</v>
          </cell>
          <cell r="F22" t="str">
            <v>https://www.ifbappliances.com/ifbdc-2235iks</v>
          </cell>
          <cell r="G22">
            <v>22550</v>
          </cell>
          <cell r="H22">
            <v>20746</v>
          </cell>
          <cell r="I22" t="str">
            <v>IFB</v>
          </cell>
          <cell r="J22">
            <v>203</v>
          </cell>
          <cell r="K22">
            <v>36</v>
          </cell>
          <cell r="L22">
            <v>5</v>
          </cell>
          <cell r="M22" t="str">
            <v>Black</v>
          </cell>
          <cell r="N22" t="str">
            <v>Converti Cool</v>
          </cell>
          <cell r="O22" t="str">
            <v>Copper Boost</v>
          </cell>
          <cell r="P22" t="str">
            <v>Quadra Crisper Cober</v>
          </cell>
          <cell r="Q22" t="str">
            <v>Metal Ice Tray</v>
          </cell>
          <cell r="R22" t="str">
            <v>Egg Tray</v>
          </cell>
          <cell r="S22" t="str">
            <v>Toughened Glass Shelves - 3</v>
          </cell>
          <cell r="T22" t="str">
            <v>White LED Bulb</v>
          </cell>
          <cell r="V22" t="str">
            <v>XL Bottle Bin</v>
          </cell>
          <cell r="W22" t="str">
            <v>Lock &amp; Key</v>
          </cell>
          <cell r="Y22" t="str">
            <v>Inverter Compressor</v>
          </cell>
          <cell r="Z22" t="str">
            <v>R600A Refrigerant</v>
          </cell>
          <cell r="AA22" t="str">
            <v>B</v>
          </cell>
        </row>
        <row r="23">
          <cell r="B23" t="str">
            <v>IFBDC-2325IRB</v>
          </cell>
          <cell r="D23" t="str">
            <v>RF</v>
          </cell>
          <cell r="E23" t="str">
            <v>RF-S</v>
          </cell>
          <cell r="F23" t="str">
            <v>https://www.ifbappliances.com/ifbdc-2325irb</v>
          </cell>
          <cell r="G23">
            <v>25950</v>
          </cell>
          <cell r="H23">
            <v>23874</v>
          </cell>
          <cell r="I23" t="str">
            <v>IFB</v>
          </cell>
          <cell r="J23">
            <v>212</v>
          </cell>
          <cell r="K23">
            <v>39</v>
          </cell>
          <cell r="L23">
            <v>5</v>
          </cell>
          <cell r="M23" t="str">
            <v>Red</v>
          </cell>
          <cell r="O23" t="str">
            <v>Copper Boost</v>
          </cell>
          <cell r="P23" t="str">
            <v>Quadra Crisper Cober</v>
          </cell>
          <cell r="Q23" t="str">
            <v>Metal Ice Tray</v>
          </cell>
          <cell r="R23" t="str">
            <v>Egg Tray</v>
          </cell>
          <cell r="S23" t="str">
            <v>Toughened Glass Shelves - 3</v>
          </cell>
          <cell r="T23" t="str">
            <v>White LED Bulb</v>
          </cell>
          <cell r="V23" t="str">
            <v>XL Bottle Bin</v>
          </cell>
          <cell r="W23" t="str">
            <v>Lock &amp; Key</v>
          </cell>
          <cell r="X23" t="str">
            <v>Digital Display</v>
          </cell>
          <cell r="Y23" t="str">
            <v>Inverter Compressor</v>
          </cell>
          <cell r="Z23" t="str">
            <v>R600A Refrigerant</v>
          </cell>
          <cell r="AA23" t="str">
            <v>A+</v>
          </cell>
        </row>
        <row r="24">
          <cell r="B24" t="str">
            <v>IFBDC-2132FCS</v>
          </cell>
          <cell r="D24" t="str">
            <v>RF</v>
          </cell>
          <cell r="E24" t="str">
            <v>RF-S</v>
          </cell>
          <cell r="F24" t="str">
            <v>https://www.ifbappliances.com/ifbdc-2132fcs</v>
          </cell>
          <cell r="G24">
            <v>18600</v>
          </cell>
          <cell r="H24">
            <v>17112</v>
          </cell>
          <cell r="I24" t="str">
            <v>IFB</v>
          </cell>
          <cell r="J24">
            <v>193</v>
          </cell>
          <cell r="K24">
            <v>33</v>
          </cell>
          <cell r="L24">
            <v>2</v>
          </cell>
          <cell r="M24" t="str">
            <v>Blue</v>
          </cell>
          <cell r="N24" t="str">
            <v>Converti Cool</v>
          </cell>
          <cell r="O24" t="str">
            <v>Copper Boost</v>
          </cell>
          <cell r="P24" t="str">
            <v>Quadra Crisper Cober</v>
          </cell>
          <cell r="Q24" t="str">
            <v>Metal Ice Tray</v>
          </cell>
          <cell r="R24" t="str">
            <v>Egg Tray</v>
          </cell>
          <cell r="S24" t="str">
            <v>Toughened Glass Shelves - 2</v>
          </cell>
          <cell r="T24" t="str">
            <v>White LED Bulb</v>
          </cell>
          <cell r="V24" t="str">
            <v>XL Bottle Bin</v>
          </cell>
          <cell r="W24" t="str">
            <v>Lock &amp; Key</v>
          </cell>
          <cell r="Y24" t="str">
            <v>Non-Inverter Compressor</v>
          </cell>
          <cell r="Z24" t="str">
            <v>R600A Refrigerant</v>
          </cell>
          <cell r="AA24" t="str">
            <v>C</v>
          </cell>
        </row>
        <row r="25">
          <cell r="B25" t="str">
            <v>IFBDC-2132FSS</v>
          </cell>
          <cell r="D25" t="str">
            <v>RF</v>
          </cell>
          <cell r="E25" t="str">
            <v>RF-S</v>
          </cell>
          <cell r="F25" t="str">
            <v>https://www.ifbappliances.com/ifbdc-2132fss</v>
          </cell>
          <cell r="G25">
            <v>18600</v>
          </cell>
          <cell r="H25">
            <v>17112</v>
          </cell>
          <cell r="I25" t="str">
            <v>IFB</v>
          </cell>
          <cell r="J25">
            <v>193</v>
          </cell>
          <cell r="K25">
            <v>33</v>
          </cell>
          <cell r="L25">
            <v>2</v>
          </cell>
          <cell r="M25" t="str">
            <v>Red</v>
          </cell>
          <cell r="N25" t="str">
            <v>Converti Cool</v>
          </cell>
          <cell r="O25" t="str">
            <v>Copper Boost</v>
          </cell>
          <cell r="P25" t="str">
            <v>Quadra Crisper Cober</v>
          </cell>
          <cell r="Q25" t="str">
            <v>Metal Ice Tray</v>
          </cell>
          <cell r="R25" t="str">
            <v>Egg Tray</v>
          </cell>
          <cell r="S25" t="str">
            <v>Toughened Glass Shelves - 2</v>
          </cell>
          <cell r="T25" t="str">
            <v>White LED Bulb</v>
          </cell>
          <cell r="V25" t="str">
            <v>XL Bottle Bin</v>
          </cell>
          <cell r="W25" t="str">
            <v>Lock &amp; Key</v>
          </cell>
          <cell r="Y25" t="str">
            <v>Non-Inverter Compressor</v>
          </cell>
          <cell r="Z25" t="str">
            <v>R600A Refrigerant</v>
          </cell>
          <cell r="AA25" t="str">
            <v>C</v>
          </cell>
        </row>
        <row r="26">
          <cell r="B26" t="str">
            <v>IFBDC-2232FSS</v>
          </cell>
          <cell r="D26" t="str">
            <v>RF</v>
          </cell>
          <cell r="E26" t="str">
            <v>RF-S</v>
          </cell>
          <cell r="F26" t="str">
            <v>https://www.ifbappliances.com/ifbdc-2232fss</v>
          </cell>
          <cell r="G26">
            <v>20250</v>
          </cell>
          <cell r="H26">
            <v>18630</v>
          </cell>
          <cell r="I26" t="str">
            <v>IFB</v>
          </cell>
          <cell r="J26">
            <v>203</v>
          </cell>
          <cell r="K26">
            <v>36</v>
          </cell>
          <cell r="L26">
            <v>2</v>
          </cell>
          <cell r="M26" t="str">
            <v>Red</v>
          </cell>
          <cell r="N26" t="str">
            <v>Converti Cool</v>
          </cell>
          <cell r="O26" t="str">
            <v>Copper Boost</v>
          </cell>
          <cell r="P26" t="str">
            <v>Quadra Crisper Cober</v>
          </cell>
          <cell r="Q26" t="str">
            <v>Metal Ice Tray</v>
          </cell>
          <cell r="R26" t="str">
            <v>Egg Tray</v>
          </cell>
          <cell r="S26" t="str">
            <v>Toughened Glass Shelves - 3</v>
          </cell>
          <cell r="T26" t="str">
            <v>White LED Bulb</v>
          </cell>
          <cell r="V26" t="str">
            <v>XL Bottle Bin</v>
          </cell>
          <cell r="W26" t="str">
            <v>Lock &amp; Key</v>
          </cell>
          <cell r="Y26" t="str">
            <v>Non-Inverter Compressor</v>
          </cell>
          <cell r="Z26" t="str">
            <v>R600A Refrigerant</v>
          </cell>
          <cell r="AA26" t="str">
            <v>B</v>
          </cell>
        </row>
        <row r="27">
          <cell r="B27" t="str">
            <v>IFBDC-2132FBF</v>
          </cell>
          <cell r="D27" t="str">
            <v>RF</v>
          </cell>
          <cell r="E27" t="str">
            <v>RF-S</v>
          </cell>
          <cell r="F27" t="str">
            <v>https://www.ifbappliances.com/ifbdc-2132fbf</v>
          </cell>
          <cell r="G27">
            <v>19600</v>
          </cell>
          <cell r="H27">
            <v>18032</v>
          </cell>
          <cell r="I27" t="str">
            <v>IFB</v>
          </cell>
          <cell r="J27">
            <v>193</v>
          </cell>
          <cell r="K27">
            <v>33</v>
          </cell>
          <cell r="L27">
            <v>2</v>
          </cell>
          <cell r="M27" t="str">
            <v>Black</v>
          </cell>
          <cell r="N27" t="str">
            <v>Converti Cool</v>
          </cell>
          <cell r="O27" t="str">
            <v>Copper Boost</v>
          </cell>
          <cell r="P27" t="str">
            <v>Quadra Crisper Cober</v>
          </cell>
          <cell r="Q27" t="str">
            <v>Metal Ice Tray</v>
          </cell>
          <cell r="R27" t="str">
            <v>Egg Tray</v>
          </cell>
          <cell r="S27" t="str">
            <v>Toughened Glass Shelves - 2</v>
          </cell>
          <cell r="T27" t="str">
            <v>White LED Bulb</v>
          </cell>
          <cell r="V27" t="str">
            <v>XL Bottle Bin</v>
          </cell>
          <cell r="W27" t="str">
            <v>Lock &amp; Key</v>
          </cell>
          <cell r="Y27" t="str">
            <v>Non-Inverter Compressor</v>
          </cell>
          <cell r="Z27" t="str">
            <v>R600A Refrigerant</v>
          </cell>
          <cell r="AA27" t="str">
            <v>C</v>
          </cell>
        </row>
        <row r="28">
          <cell r="B28" t="str">
            <v>IFBDC-2132FRF</v>
          </cell>
          <cell r="D28" t="str">
            <v>RF</v>
          </cell>
          <cell r="E28" t="str">
            <v>RF-S</v>
          </cell>
          <cell r="F28" t="str">
            <v>https://www.ifbappliances.com/ifbdc-2132frf</v>
          </cell>
          <cell r="G28">
            <v>19600</v>
          </cell>
          <cell r="H28">
            <v>18032</v>
          </cell>
          <cell r="I28" t="str">
            <v>IFB</v>
          </cell>
          <cell r="J28">
            <v>193</v>
          </cell>
          <cell r="K28">
            <v>33</v>
          </cell>
          <cell r="L28">
            <v>2</v>
          </cell>
          <cell r="M28" t="str">
            <v>Red</v>
          </cell>
          <cell r="N28" t="str">
            <v>Converti Cool</v>
          </cell>
          <cell r="O28" t="str">
            <v>Copper Boost</v>
          </cell>
          <cell r="P28" t="str">
            <v>Quadra Crisper Cober</v>
          </cell>
          <cell r="Q28" t="str">
            <v>Metal Ice Tray</v>
          </cell>
          <cell r="R28" t="str">
            <v>Egg Tray</v>
          </cell>
          <cell r="S28" t="str">
            <v>Toughened Glass Shelves - 2</v>
          </cell>
          <cell r="T28" t="str">
            <v>White LED Bulb</v>
          </cell>
          <cell r="V28" t="str">
            <v>XL Bottle Bin</v>
          </cell>
          <cell r="W28" t="str">
            <v>Lock &amp; Key</v>
          </cell>
          <cell r="Y28" t="str">
            <v>Non-Inverter Compressor</v>
          </cell>
          <cell r="Z28" t="str">
            <v>R600A Refrigerant</v>
          </cell>
          <cell r="AA28" t="str">
            <v>C</v>
          </cell>
        </row>
        <row r="29">
          <cell r="B29" t="str">
            <v>IFBDC-2322FBS</v>
          </cell>
          <cell r="D29" t="str">
            <v>RF</v>
          </cell>
          <cell r="E29" t="str">
            <v>RF-S</v>
          </cell>
          <cell r="F29" t="str">
            <v>https://www.ifbappliances.com/ifbdc-2322fbs</v>
          </cell>
          <cell r="G29">
            <v>23200</v>
          </cell>
          <cell r="H29">
            <v>21344</v>
          </cell>
          <cell r="I29" t="str">
            <v>IFB</v>
          </cell>
          <cell r="J29">
            <v>212</v>
          </cell>
          <cell r="K29">
            <v>39</v>
          </cell>
          <cell r="L29">
            <v>2</v>
          </cell>
          <cell r="M29" t="str">
            <v>Black</v>
          </cell>
          <cell r="N29" t="str">
            <v>Converti Cool</v>
          </cell>
          <cell r="O29" t="str">
            <v>Copper Boost</v>
          </cell>
          <cell r="P29" t="str">
            <v>Quadra Crisper Cober</v>
          </cell>
          <cell r="Q29" t="str">
            <v>Metal Ice Tray</v>
          </cell>
          <cell r="R29" t="str">
            <v>Egg Tray</v>
          </cell>
          <cell r="S29" t="str">
            <v>Toughened Glass Shelves - 3</v>
          </cell>
          <cell r="T29" t="str">
            <v>White LED Bulb</v>
          </cell>
          <cell r="V29" t="str">
            <v>XL Bottle Bin</v>
          </cell>
          <cell r="W29" t="str">
            <v>Lock &amp; Key</v>
          </cell>
          <cell r="Y29" t="str">
            <v>Non-Inverter Compressor</v>
          </cell>
          <cell r="Z29" t="str">
            <v>R600A Refrigerant</v>
          </cell>
          <cell r="AA29" t="str">
            <v>B</v>
          </cell>
        </row>
        <row r="30">
          <cell r="B30" t="str">
            <v>IFBDC-2233FBB</v>
          </cell>
          <cell r="D30" t="str">
            <v>RF</v>
          </cell>
          <cell r="E30" t="str">
            <v>RF-S</v>
          </cell>
          <cell r="F30" t="str">
            <v>https://www.ifbappliances.com/ifbdc-2233fbb</v>
          </cell>
          <cell r="G30">
            <v>22450</v>
          </cell>
          <cell r="H30">
            <v>20654</v>
          </cell>
          <cell r="I30" t="str">
            <v>IFB</v>
          </cell>
          <cell r="J30">
            <v>203</v>
          </cell>
          <cell r="K30">
            <v>36</v>
          </cell>
          <cell r="L30">
            <v>3</v>
          </cell>
          <cell r="M30" t="str">
            <v>Blue</v>
          </cell>
          <cell r="N30" t="str">
            <v>Converti Cool</v>
          </cell>
          <cell r="O30" t="str">
            <v>Copper Boost</v>
          </cell>
          <cell r="P30" t="str">
            <v>Quadra Crisper Cober</v>
          </cell>
          <cell r="Q30" t="str">
            <v>Metal Ice Tray</v>
          </cell>
          <cell r="R30" t="str">
            <v>Egg Tray</v>
          </cell>
          <cell r="S30" t="str">
            <v>Toughened Glass Shelves - 3</v>
          </cell>
          <cell r="T30" t="str">
            <v>White LED Bulb</v>
          </cell>
          <cell r="V30" t="str">
            <v>XL Bottle Bin</v>
          </cell>
          <cell r="W30" t="str">
            <v>Lock &amp; Key</v>
          </cell>
          <cell r="Y30" t="str">
            <v>Non-Inverter Compressor</v>
          </cell>
          <cell r="Z30" t="str">
            <v>R600A Refrigerant</v>
          </cell>
          <cell r="AA30" t="str">
            <v>B</v>
          </cell>
        </row>
        <row r="31">
          <cell r="B31" t="str">
            <v>IFBDC-2232FAS</v>
          </cell>
          <cell r="D31" t="str">
            <v>RF</v>
          </cell>
          <cell r="E31" t="str">
            <v>RF-S</v>
          </cell>
          <cell r="F31" t="str">
            <v>https://www.ifbappliances.com/ifbdc-2232fas</v>
          </cell>
          <cell r="G31">
            <v>20250</v>
          </cell>
          <cell r="H31">
            <v>18630</v>
          </cell>
          <cell r="I31" t="str">
            <v>IFB</v>
          </cell>
          <cell r="J31">
            <v>203</v>
          </cell>
          <cell r="K31">
            <v>36</v>
          </cell>
          <cell r="L31">
            <v>2</v>
          </cell>
          <cell r="M31" t="str">
            <v>Grey</v>
          </cell>
          <cell r="N31" t="str">
            <v>Converti Cool</v>
          </cell>
          <cell r="O31" t="str">
            <v>Copper Boost</v>
          </cell>
          <cell r="P31" t="str">
            <v>Quadra Crisper Cober</v>
          </cell>
          <cell r="Q31" t="str">
            <v>Metal Ice Tray</v>
          </cell>
          <cell r="R31" t="str">
            <v>Egg Tray</v>
          </cell>
          <cell r="S31" t="str">
            <v>Toughened Glass Shelves - 3</v>
          </cell>
          <cell r="T31" t="str">
            <v>White LED Bulb</v>
          </cell>
          <cell r="V31" t="str">
            <v>XL Bottle Bin</v>
          </cell>
          <cell r="W31" t="str">
            <v>Lock &amp; Key</v>
          </cell>
          <cell r="Y31" t="str">
            <v>Non-Inverter Compressor</v>
          </cell>
          <cell r="Z31" t="str">
            <v>R600A Refrigerant</v>
          </cell>
          <cell r="AA31" t="str">
            <v>B</v>
          </cell>
        </row>
        <row r="32">
          <cell r="B32" t="str">
            <v>IFBDC-2325IGS</v>
          </cell>
          <cell r="D32" t="str">
            <v>RF</v>
          </cell>
          <cell r="E32" t="str">
            <v>RF-S</v>
          </cell>
          <cell r="F32" t="str">
            <v>https://www.ifbappliances.com/ifbdc-2325igs</v>
          </cell>
          <cell r="G32">
            <v>25300</v>
          </cell>
          <cell r="H32">
            <v>23276</v>
          </cell>
          <cell r="I32" t="str">
            <v>IFB</v>
          </cell>
          <cell r="J32">
            <v>212</v>
          </cell>
          <cell r="K32">
            <v>39</v>
          </cell>
          <cell r="L32">
            <v>5</v>
          </cell>
          <cell r="M32" t="str">
            <v>Grey</v>
          </cell>
          <cell r="N32" t="str">
            <v>Converti Cool</v>
          </cell>
          <cell r="O32" t="str">
            <v>Copper Boost</v>
          </cell>
          <cell r="P32" t="str">
            <v>Quadra Crisper Cober</v>
          </cell>
          <cell r="Q32" t="str">
            <v>Metal Ice Tray</v>
          </cell>
          <cell r="R32" t="str">
            <v>Egg Tray</v>
          </cell>
          <cell r="S32" t="str">
            <v>Toughened Glass Shelves - 3</v>
          </cell>
          <cell r="T32" t="str">
            <v>White LED Bulb</v>
          </cell>
          <cell r="V32" t="str">
            <v>XL Bottle Bin</v>
          </cell>
          <cell r="W32" t="str">
            <v>Lock &amp; Key</v>
          </cell>
          <cell r="X32" t="str">
            <v>Digital Display</v>
          </cell>
          <cell r="Y32" t="str">
            <v>Inverter Compressor</v>
          </cell>
          <cell r="Z32" t="str">
            <v>R600A Refrigerant</v>
          </cell>
          <cell r="AA32" t="str">
            <v>A+</v>
          </cell>
        </row>
        <row r="33">
          <cell r="B33" t="str">
            <v>IFBDC-2231FSS</v>
          </cell>
          <cell r="D33" t="str">
            <v>RF</v>
          </cell>
          <cell r="E33" t="str">
            <v>RF-S</v>
          </cell>
          <cell r="F33" t="str">
            <v>https://www.ifbappliances.com/ifbdc-2231fss</v>
          </cell>
          <cell r="G33">
            <v>18600</v>
          </cell>
          <cell r="H33">
            <v>17112</v>
          </cell>
          <cell r="I33" t="str">
            <v>IFB</v>
          </cell>
          <cell r="J33">
            <v>203</v>
          </cell>
          <cell r="K33">
            <v>36</v>
          </cell>
          <cell r="L33">
            <v>1</v>
          </cell>
          <cell r="M33" t="str">
            <v>Scarlet</v>
          </cell>
          <cell r="P33" t="str">
            <v>Quadra Crisper Cober</v>
          </cell>
          <cell r="Q33" t="str">
            <v>Metal Ice Tray</v>
          </cell>
          <cell r="R33" t="str">
            <v>Egg Tray</v>
          </cell>
          <cell r="T33" t="str">
            <v>White LED Bulb</v>
          </cell>
          <cell r="V33" t="str">
            <v>XL Bottle Bin</v>
          </cell>
          <cell r="Y33" t="str">
            <v>Non-Inverter Compressor</v>
          </cell>
          <cell r="Z33" t="str">
            <v>R600A Refrigerant</v>
          </cell>
          <cell r="AA33" t="str">
            <v>C</v>
          </cell>
        </row>
        <row r="34">
          <cell r="B34" t="str">
            <v>IFBDC-2131FRF</v>
          </cell>
          <cell r="D34" t="str">
            <v>RF</v>
          </cell>
          <cell r="E34" t="str">
            <v>RF-S</v>
          </cell>
          <cell r="F34" t="str">
            <v>https://www.ifbappliances.com/ifbdc-2131frf</v>
          </cell>
          <cell r="G34">
            <v>18050</v>
          </cell>
          <cell r="H34">
            <v>16606</v>
          </cell>
          <cell r="I34" t="str">
            <v>IFB</v>
          </cell>
          <cell r="J34">
            <v>193</v>
          </cell>
          <cell r="K34">
            <v>33</v>
          </cell>
          <cell r="L34">
            <v>1</v>
          </cell>
          <cell r="M34" t="str">
            <v>Red</v>
          </cell>
          <cell r="P34" t="str">
            <v>Quadra Crisper Cober</v>
          </cell>
          <cell r="Q34" t="str">
            <v>Metal Ice Tray</v>
          </cell>
          <cell r="R34" t="str">
            <v>Egg Tray</v>
          </cell>
          <cell r="T34" t="str">
            <v>White LED Bulb</v>
          </cell>
          <cell r="V34" t="str">
            <v>XL Bottle Bin</v>
          </cell>
          <cell r="X34" t="str">
            <v>Digital Display</v>
          </cell>
          <cell r="Y34" t="str">
            <v>Non-Inverter Compressor</v>
          </cell>
          <cell r="Z34" t="str">
            <v>R600A Refrigerant</v>
          </cell>
          <cell r="AA34" t="str">
            <v>C</v>
          </cell>
        </row>
        <row r="35">
          <cell r="B35" t="str">
            <v>IFBDC-2131FBF</v>
          </cell>
          <cell r="D35" t="str">
            <v>RF</v>
          </cell>
          <cell r="E35" t="str">
            <v>RF-S</v>
          </cell>
          <cell r="F35" t="str">
            <v>https://www.ifbappliances.com/ifbdc-2131fbf</v>
          </cell>
          <cell r="G35">
            <v>18050</v>
          </cell>
          <cell r="H35">
            <v>16606</v>
          </cell>
          <cell r="I35" t="str">
            <v>IFB</v>
          </cell>
          <cell r="J35">
            <v>193</v>
          </cell>
          <cell r="K35">
            <v>33</v>
          </cell>
          <cell r="L35">
            <v>1</v>
          </cell>
          <cell r="M35" t="str">
            <v>Blue</v>
          </cell>
          <cell r="P35" t="str">
            <v>Quadra Crisper Cober</v>
          </cell>
          <cell r="Q35" t="str">
            <v>Metal Ice Tray</v>
          </cell>
          <cell r="R35" t="str">
            <v>Egg Tray</v>
          </cell>
          <cell r="T35" t="str">
            <v>White LED Bulb</v>
          </cell>
          <cell r="V35" t="str">
            <v>XL Bottle Bin</v>
          </cell>
          <cell r="X35" t="str">
            <v>Digital Display</v>
          </cell>
          <cell r="Y35" t="str">
            <v>Non-Inverter Compressor</v>
          </cell>
          <cell r="Z35" t="str">
            <v>R600A Refrigerant</v>
          </cell>
          <cell r="AA35" t="str">
            <v>C</v>
          </cell>
        </row>
        <row r="36">
          <cell r="B36" t="str">
            <v>IFBDC-2131FSS</v>
          </cell>
          <cell r="D36" t="str">
            <v>RF</v>
          </cell>
          <cell r="E36" t="str">
            <v>RF-S</v>
          </cell>
          <cell r="F36" t="str">
            <v>https://www.ifbappliances.com/ifbdc-2131fss</v>
          </cell>
          <cell r="G36">
            <v>17050</v>
          </cell>
          <cell r="H36">
            <v>15686</v>
          </cell>
          <cell r="I36" t="str">
            <v>IFB</v>
          </cell>
          <cell r="J36">
            <v>193</v>
          </cell>
          <cell r="K36">
            <v>33</v>
          </cell>
          <cell r="L36">
            <v>1</v>
          </cell>
          <cell r="M36" t="str">
            <v>Scarlet</v>
          </cell>
          <cell r="P36" t="str">
            <v>Quadra Crisper Cober</v>
          </cell>
          <cell r="Q36" t="str">
            <v>Metal Ice Tray</v>
          </cell>
          <cell r="R36" t="str">
            <v>Egg Tray</v>
          </cell>
          <cell r="T36" t="str">
            <v>White LED Bulb</v>
          </cell>
          <cell r="V36" t="str">
            <v>XL Bottle Bin</v>
          </cell>
          <cell r="X36" t="str">
            <v>Digital Display</v>
          </cell>
          <cell r="Y36" t="str">
            <v>Non-Inverter Compressor</v>
          </cell>
          <cell r="Z36" t="str">
            <v>R600A Refrigerant</v>
          </cell>
          <cell r="AA36" t="str">
            <v>C</v>
          </cell>
        </row>
        <row r="37">
          <cell r="B37" t="str">
            <v>IFBDC-2233FBS</v>
          </cell>
          <cell r="D37" t="str">
            <v>RF</v>
          </cell>
          <cell r="E37" t="str">
            <v>RF-S</v>
          </cell>
          <cell r="F37" t="str">
            <v>https://www.ifbappliances.com/ifbdc-2233fbs</v>
          </cell>
          <cell r="G37">
            <v>21450</v>
          </cell>
          <cell r="H37">
            <v>19734</v>
          </cell>
          <cell r="I37" t="str">
            <v>IFB</v>
          </cell>
          <cell r="J37">
            <v>203</v>
          </cell>
          <cell r="K37">
            <v>36</v>
          </cell>
          <cell r="L37">
            <v>3</v>
          </cell>
          <cell r="M37" t="str">
            <v>Grey</v>
          </cell>
          <cell r="N37" t="str">
            <v>Converti Cool</v>
          </cell>
          <cell r="O37" t="str">
            <v>Copper Boost</v>
          </cell>
          <cell r="P37" t="str">
            <v>Quadra Crisper Cober</v>
          </cell>
          <cell r="Q37" t="str">
            <v>Metal Ice Tray</v>
          </cell>
          <cell r="R37" t="str">
            <v>Egg Tray</v>
          </cell>
          <cell r="S37" t="str">
            <v>Toughened Glass Shelves - 3</v>
          </cell>
          <cell r="T37" t="str">
            <v>White LED Bulb</v>
          </cell>
          <cell r="V37" t="str">
            <v>XL Bottle Bin</v>
          </cell>
          <cell r="W37" t="str">
            <v>Lock &amp; Key</v>
          </cell>
          <cell r="Y37" t="str">
            <v>Non-Inverter Compressor</v>
          </cell>
          <cell r="Z37" t="str">
            <v>R600A Refrigerant</v>
          </cell>
          <cell r="AA37" t="str">
            <v>B</v>
          </cell>
        </row>
        <row r="38">
          <cell r="B38" t="str">
            <v>IFBDC-2133FRH</v>
          </cell>
          <cell r="D38" t="str">
            <v>RF</v>
          </cell>
          <cell r="E38" t="str">
            <v>RF-S</v>
          </cell>
          <cell r="F38" t="str">
            <v>https://www.ifbappliances.com/ifbdc-2133frh</v>
          </cell>
          <cell r="G38">
            <v>20550</v>
          </cell>
          <cell r="H38">
            <v>18906</v>
          </cell>
          <cell r="I38" t="str">
            <v>IFB</v>
          </cell>
          <cell r="J38">
            <v>193</v>
          </cell>
          <cell r="K38">
            <v>33</v>
          </cell>
          <cell r="L38">
            <v>3</v>
          </cell>
          <cell r="M38" t="str">
            <v>Red</v>
          </cell>
          <cell r="N38" t="str">
            <v>Converti Cool</v>
          </cell>
          <cell r="O38" t="str">
            <v>Copper Boost</v>
          </cell>
          <cell r="P38" t="str">
            <v>Quadra Crisper Cober</v>
          </cell>
          <cell r="Q38" t="str">
            <v>Metal Ice Tray</v>
          </cell>
          <cell r="R38" t="str">
            <v>Egg Tray</v>
          </cell>
          <cell r="S38" t="str">
            <v>Toughened Glass Shelves - 2</v>
          </cell>
          <cell r="T38" t="str">
            <v>White LED Bulb</v>
          </cell>
          <cell r="V38" t="str">
            <v>XL Bottle Bin</v>
          </cell>
          <cell r="W38" t="str">
            <v>Lock &amp; Key</v>
          </cell>
          <cell r="Y38" t="str">
            <v>Non-Inverter Compressor</v>
          </cell>
          <cell r="Z38" t="str">
            <v>R600A Refrigerant</v>
          </cell>
          <cell r="AA38" t="str">
            <v>B</v>
          </cell>
        </row>
        <row r="39">
          <cell r="B39" t="str">
            <v>IFBDC-2133FBH</v>
          </cell>
          <cell r="D39" t="str">
            <v>RF</v>
          </cell>
          <cell r="E39" t="str">
            <v>RF-S</v>
          </cell>
          <cell r="F39" t="str">
            <v>https://www.ifbappliances.com/ifbdc-2133fbh</v>
          </cell>
          <cell r="G39">
            <v>20550</v>
          </cell>
          <cell r="H39">
            <v>18906</v>
          </cell>
          <cell r="I39" t="str">
            <v>IFB</v>
          </cell>
          <cell r="J39">
            <v>193</v>
          </cell>
          <cell r="K39">
            <v>33</v>
          </cell>
          <cell r="L39">
            <v>3</v>
          </cell>
          <cell r="M39" t="str">
            <v>Blue</v>
          </cell>
          <cell r="N39" t="str">
            <v>Converti Cool</v>
          </cell>
          <cell r="O39" t="str">
            <v>Copper Boost</v>
          </cell>
          <cell r="P39" t="str">
            <v>Quadra Crisper Cober</v>
          </cell>
          <cell r="Q39" t="str">
            <v>Metal Ice Tray</v>
          </cell>
          <cell r="R39" t="str">
            <v>Egg Tray</v>
          </cell>
          <cell r="S39" t="str">
            <v>Toughened Glass Shelves - 2</v>
          </cell>
          <cell r="T39" t="str">
            <v>White LED Bulb</v>
          </cell>
          <cell r="V39" t="str">
            <v>XL Bottle Bin</v>
          </cell>
          <cell r="W39" t="str">
            <v>Lock &amp; Key</v>
          </cell>
          <cell r="Y39" t="str">
            <v>Non-Inverter Compressor</v>
          </cell>
          <cell r="Z39" t="str">
            <v>R600A Refrigerant</v>
          </cell>
          <cell r="AA39" t="str">
            <v>B</v>
          </cell>
        </row>
        <row r="40">
          <cell r="B40" t="str">
            <v>IFBDC-2483FRH</v>
          </cell>
          <cell r="D40" t="str">
            <v>RF</v>
          </cell>
          <cell r="E40" t="str">
            <v>RF-S</v>
          </cell>
          <cell r="F40" t="str">
            <v>https://www.ifbappliances.com/ifbdc-2483frh</v>
          </cell>
          <cell r="G40">
            <v>28400</v>
          </cell>
          <cell r="H40">
            <v>26128</v>
          </cell>
          <cell r="I40" t="str">
            <v>IFB</v>
          </cell>
          <cell r="J40">
            <v>228</v>
          </cell>
          <cell r="K40">
            <v>40</v>
          </cell>
          <cell r="L40">
            <v>3</v>
          </cell>
          <cell r="M40" t="str">
            <v>Red</v>
          </cell>
          <cell r="N40" t="str">
            <v>Converti Cool</v>
          </cell>
          <cell r="O40" t="str">
            <v>Copper Boost</v>
          </cell>
          <cell r="P40" t="str">
            <v>Quadra Crisper Cober</v>
          </cell>
          <cell r="Q40" t="str">
            <v>Metal Ice Tray</v>
          </cell>
          <cell r="R40" t="str">
            <v>Egg Tray</v>
          </cell>
          <cell r="S40" t="str">
            <v>Toughened Glass Shelves - 3</v>
          </cell>
          <cell r="T40" t="str">
            <v>White LED Bulb</v>
          </cell>
          <cell r="V40" t="str">
            <v>XL Bottle Bin</v>
          </cell>
          <cell r="W40" t="str">
            <v>Lock &amp; Key</v>
          </cell>
          <cell r="Y40" t="str">
            <v>Non-Inverter Compressor</v>
          </cell>
          <cell r="Z40" t="str">
            <v>R600A Refrigerant</v>
          </cell>
          <cell r="AA40" t="str">
            <v>A++</v>
          </cell>
        </row>
        <row r="41">
          <cell r="B41" t="str">
            <v>IFBDC-2483FBH</v>
          </cell>
          <cell r="D41" t="str">
            <v>RF</v>
          </cell>
          <cell r="E41" t="str">
            <v>RF-S</v>
          </cell>
          <cell r="F41" t="str">
            <v>https://www.ifbappliances.com/ifbdc-2483fbh</v>
          </cell>
          <cell r="G41">
            <v>28400</v>
          </cell>
          <cell r="H41">
            <v>26128</v>
          </cell>
          <cell r="I41" t="str">
            <v>IFB</v>
          </cell>
          <cell r="J41">
            <v>228</v>
          </cell>
          <cell r="K41">
            <v>40</v>
          </cell>
          <cell r="L41">
            <v>3</v>
          </cell>
          <cell r="M41" t="str">
            <v>Black</v>
          </cell>
          <cell r="N41" t="str">
            <v>Converti Cool</v>
          </cell>
          <cell r="O41" t="str">
            <v>Copper Boost</v>
          </cell>
          <cell r="P41" t="str">
            <v>Quadra Crisper Cober</v>
          </cell>
          <cell r="Q41" t="str">
            <v>Metal Ice Tray</v>
          </cell>
          <cell r="R41" t="str">
            <v>Egg Tray</v>
          </cell>
          <cell r="S41" t="str">
            <v>Toughened Glass Shelves - 3</v>
          </cell>
          <cell r="T41" t="str">
            <v>White LED Bulb</v>
          </cell>
          <cell r="V41" t="str">
            <v>XL Bottle Bin</v>
          </cell>
          <cell r="W41" t="str">
            <v>Lock &amp; Key</v>
          </cell>
          <cell r="Y41" t="str">
            <v>Non-Inverter Compressor</v>
          </cell>
          <cell r="Z41" t="str">
            <v>R600A Refrigerant</v>
          </cell>
          <cell r="AA41" t="str">
            <v>A++</v>
          </cell>
        </row>
        <row r="42">
          <cell r="B42" t="str">
            <v>IFBDC-2233FRB</v>
          </cell>
          <cell r="D42" t="str">
            <v>RF</v>
          </cell>
          <cell r="E42" t="str">
            <v>RF-S</v>
          </cell>
          <cell r="F42" t="str">
            <v>https://www.ifbappliances.com/ifbdc-2233frb</v>
          </cell>
          <cell r="G42">
            <v>22450</v>
          </cell>
          <cell r="H42">
            <v>20654</v>
          </cell>
          <cell r="I42" t="str">
            <v>IFB</v>
          </cell>
          <cell r="J42">
            <v>203</v>
          </cell>
          <cell r="K42">
            <v>36</v>
          </cell>
          <cell r="L42">
            <v>3</v>
          </cell>
          <cell r="M42" t="str">
            <v>Red</v>
          </cell>
          <cell r="N42" t="str">
            <v>Converti Cool</v>
          </cell>
          <cell r="O42" t="str">
            <v>Copper Boost</v>
          </cell>
          <cell r="P42" t="str">
            <v>Quadra Crisper Cober</v>
          </cell>
          <cell r="Q42" t="str">
            <v>Metal Ice Tray</v>
          </cell>
          <cell r="R42" t="str">
            <v>Egg Tray</v>
          </cell>
          <cell r="S42" t="str">
            <v>Toughened Glass Shelves - 3</v>
          </cell>
          <cell r="T42" t="str">
            <v>White LED Bulb</v>
          </cell>
          <cell r="V42" t="str">
            <v>XL Bottle Bin</v>
          </cell>
          <cell r="W42" t="str">
            <v>Lock &amp; Key</v>
          </cell>
          <cell r="Y42" t="str">
            <v>Non-Inverter Compressor</v>
          </cell>
          <cell r="Z42" t="str">
            <v>R600A Refrigerant</v>
          </cell>
          <cell r="AA42" t="str">
            <v>B</v>
          </cell>
        </row>
        <row r="43">
          <cell r="B43" t="str">
            <v>IFBDC-2324IGS</v>
          </cell>
          <cell r="D43" t="str">
            <v>RF</v>
          </cell>
          <cell r="E43" t="str">
            <v>RF-S</v>
          </cell>
          <cell r="F43" t="str">
            <v>https://www.ifbappliances.com/ifbdc-2324igs</v>
          </cell>
          <cell r="G43">
            <v>24200</v>
          </cell>
          <cell r="H43">
            <v>22264</v>
          </cell>
          <cell r="I43" t="str">
            <v>IFB</v>
          </cell>
          <cell r="J43">
            <v>212</v>
          </cell>
          <cell r="K43">
            <v>39</v>
          </cell>
          <cell r="L43">
            <v>4</v>
          </cell>
          <cell r="M43" t="str">
            <v>Grey</v>
          </cell>
          <cell r="N43" t="str">
            <v>Converti Cool</v>
          </cell>
          <cell r="O43" t="str">
            <v>Copper Boost</v>
          </cell>
          <cell r="P43" t="str">
            <v>Quadra Crisper Cober</v>
          </cell>
          <cell r="Q43" t="str">
            <v>Metal Ice Tray</v>
          </cell>
          <cell r="R43" t="str">
            <v>Egg Tray</v>
          </cell>
          <cell r="S43" t="str">
            <v>Toughened Glass Shelves - 3</v>
          </cell>
          <cell r="T43" t="str">
            <v>White LED Bulb</v>
          </cell>
          <cell r="V43" t="str">
            <v>XL Bottle Bin</v>
          </cell>
          <cell r="W43" t="str">
            <v>Lock &amp; Key</v>
          </cell>
          <cell r="Y43" t="str">
            <v>Inverter Compressor</v>
          </cell>
          <cell r="Z43" t="str">
            <v>R600A Refrigerant</v>
          </cell>
          <cell r="AA43" t="str">
            <v>A</v>
          </cell>
        </row>
        <row r="44">
          <cell r="B44" t="str">
            <v>IFBDC-2324IKS</v>
          </cell>
          <cell r="D44" t="str">
            <v>RF</v>
          </cell>
          <cell r="E44" t="str">
            <v>RF-S</v>
          </cell>
          <cell r="F44" t="str">
            <v>https://www.ifbappliances.com/ifbdc-2324iks</v>
          </cell>
          <cell r="G44">
            <v>24200</v>
          </cell>
          <cell r="H44">
            <v>22264</v>
          </cell>
          <cell r="I44" t="str">
            <v>IFB</v>
          </cell>
          <cell r="J44">
            <v>212</v>
          </cell>
          <cell r="K44">
            <v>39</v>
          </cell>
          <cell r="L44">
            <v>4</v>
          </cell>
          <cell r="M44" t="str">
            <v>Black</v>
          </cell>
          <cell r="N44" t="str">
            <v>Converti Cool</v>
          </cell>
          <cell r="O44" t="str">
            <v>Copper Boost</v>
          </cell>
          <cell r="P44" t="str">
            <v>Quadra Crisper Cober</v>
          </cell>
          <cell r="Q44" t="str">
            <v>Metal Ice Tray</v>
          </cell>
          <cell r="R44" t="str">
            <v>Egg Tray</v>
          </cell>
          <cell r="S44" t="str">
            <v>Toughened Glass Shelves - 3</v>
          </cell>
          <cell r="T44" t="str">
            <v>White LED Bulb</v>
          </cell>
          <cell r="V44" t="str">
            <v>XL Bottle Bin</v>
          </cell>
          <cell r="W44" t="str">
            <v>Lock &amp; Key</v>
          </cell>
          <cell r="Y44" t="str">
            <v>Inverter Compressor</v>
          </cell>
          <cell r="Z44" t="str">
            <v>R600A Refrigerant</v>
          </cell>
          <cell r="AA44" t="str">
            <v>A</v>
          </cell>
        </row>
        <row r="45">
          <cell r="B45" t="str">
            <v>IFBDC-2774IGS</v>
          </cell>
          <cell r="D45" t="str">
            <v>RF</v>
          </cell>
          <cell r="E45" t="str">
            <v>RF-S</v>
          </cell>
          <cell r="F45" t="str">
            <v>https://www.ifbappliances.com/ifbdc-2774igs</v>
          </cell>
          <cell r="G45">
            <v>30350</v>
          </cell>
          <cell r="H45">
            <v>27922</v>
          </cell>
          <cell r="I45" t="str">
            <v>IFB</v>
          </cell>
          <cell r="J45">
            <v>257</v>
          </cell>
          <cell r="K45">
            <v>48</v>
          </cell>
          <cell r="L45">
            <v>4</v>
          </cell>
          <cell r="M45" t="str">
            <v>Grey</v>
          </cell>
          <cell r="N45" t="str">
            <v>Converti Cool</v>
          </cell>
          <cell r="O45" t="str">
            <v>Copper Boost</v>
          </cell>
          <cell r="P45" t="str">
            <v>Quadra Crisper Cober</v>
          </cell>
          <cell r="Q45" t="str">
            <v>Metal Ice Tray</v>
          </cell>
          <cell r="R45" t="str">
            <v>Egg Tray</v>
          </cell>
          <cell r="S45" t="str">
            <v>Toughened Glass Shelves - 4</v>
          </cell>
          <cell r="T45" t="str">
            <v>White LED Bulb</v>
          </cell>
          <cell r="V45" t="str">
            <v>XL Bottle Bin</v>
          </cell>
          <cell r="W45" t="str">
            <v>Lock &amp; Key</v>
          </cell>
          <cell r="Y45" t="str">
            <v>Inverter Compressor</v>
          </cell>
          <cell r="Z45" t="str">
            <v>R600A Refrigerant</v>
          </cell>
          <cell r="AA45" t="str">
            <v>A++</v>
          </cell>
        </row>
        <row r="46">
          <cell r="B46" t="str">
            <v>IFBDC-2324IRV</v>
          </cell>
          <cell r="D46" t="str">
            <v>RF</v>
          </cell>
          <cell r="E46" t="str">
            <v>RF-S</v>
          </cell>
          <cell r="F46" t="str">
            <v>https://www.ifbappliances.com/ifbdc-2324irv</v>
          </cell>
          <cell r="G46">
            <v>25200</v>
          </cell>
          <cell r="H46">
            <v>23184</v>
          </cell>
          <cell r="I46" t="str">
            <v>IFB</v>
          </cell>
          <cell r="J46">
            <v>212</v>
          </cell>
          <cell r="K46">
            <v>39</v>
          </cell>
          <cell r="L46">
            <v>4</v>
          </cell>
          <cell r="M46" t="str">
            <v>Red</v>
          </cell>
          <cell r="N46" t="str">
            <v>Converti Cool</v>
          </cell>
          <cell r="O46" t="str">
            <v>Copper Boost</v>
          </cell>
          <cell r="P46" t="str">
            <v>Quadra Crisper Cober</v>
          </cell>
          <cell r="Q46" t="str">
            <v>Metal Ice Tray</v>
          </cell>
          <cell r="R46" t="str">
            <v>Egg Tray</v>
          </cell>
          <cell r="S46" t="str">
            <v>Toughened Glass Shelves - 3</v>
          </cell>
          <cell r="T46" t="str">
            <v>White LED Bulb</v>
          </cell>
          <cell r="V46" t="str">
            <v>XL Bottle Bin</v>
          </cell>
          <cell r="W46" t="str">
            <v>Lock &amp; Key</v>
          </cell>
          <cell r="Y46" t="str">
            <v>Inverter Compressor</v>
          </cell>
          <cell r="Z46" t="str">
            <v>R600A Refrigerant</v>
          </cell>
          <cell r="AA46" t="str">
            <v>A+</v>
          </cell>
        </row>
        <row r="47">
          <cell r="B47" t="str">
            <v>IFBDC-2324IBV</v>
          </cell>
          <cell r="D47" t="str">
            <v>RF</v>
          </cell>
          <cell r="E47" t="str">
            <v>RF-S</v>
          </cell>
          <cell r="F47" t="str">
            <v>https://www.ifbappliances.com/ifbdc-2324ibv</v>
          </cell>
          <cell r="G47">
            <v>25200</v>
          </cell>
          <cell r="H47">
            <v>23184</v>
          </cell>
          <cell r="I47" t="str">
            <v>IFB</v>
          </cell>
          <cell r="J47">
            <v>212</v>
          </cell>
          <cell r="K47">
            <v>39</v>
          </cell>
          <cell r="L47">
            <v>4</v>
          </cell>
          <cell r="M47" t="str">
            <v>Blue</v>
          </cell>
          <cell r="N47" t="str">
            <v>Converti Cool</v>
          </cell>
          <cell r="O47" t="str">
            <v>Copper Boost</v>
          </cell>
          <cell r="P47" t="str">
            <v>Quadra Crisper Cober</v>
          </cell>
          <cell r="Q47" t="str">
            <v>Metal Ice Tray</v>
          </cell>
          <cell r="R47" t="str">
            <v>Egg Tray</v>
          </cell>
          <cell r="S47" t="str">
            <v>Toughened Glass Shelves - 3</v>
          </cell>
          <cell r="T47" t="str">
            <v>White LED Bulb</v>
          </cell>
          <cell r="V47" t="str">
            <v>XL Bottle Bin</v>
          </cell>
          <cell r="W47" t="str">
            <v>Lock &amp; Key</v>
          </cell>
          <cell r="Y47" t="str">
            <v>Inverter Compressor</v>
          </cell>
          <cell r="Z47" t="str">
            <v>R600A Refrigerant</v>
          </cell>
          <cell r="AA47" t="str">
            <v>A+</v>
          </cell>
        </row>
        <row r="48">
          <cell r="B48" t="str">
            <v>IFBDC-2774IRV</v>
          </cell>
          <cell r="D48" t="str">
            <v>RF</v>
          </cell>
          <cell r="E48" t="str">
            <v>RF-S</v>
          </cell>
          <cell r="F48" t="str">
            <v>https://www.ifbappliances.com/ifbdc-2774irv</v>
          </cell>
          <cell r="G48">
            <v>31000</v>
          </cell>
          <cell r="H48">
            <v>28520</v>
          </cell>
          <cell r="I48" t="str">
            <v>IFB</v>
          </cell>
          <cell r="J48">
            <v>257</v>
          </cell>
          <cell r="K48">
            <v>48</v>
          </cell>
          <cell r="L48">
            <v>4</v>
          </cell>
          <cell r="M48" t="str">
            <v>Red</v>
          </cell>
          <cell r="N48" t="str">
            <v>Converti Cool</v>
          </cell>
          <cell r="O48" t="str">
            <v>Copper Boost</v>
          </cell>
          <cell r="P48" t="str">
            <v>Quadra Crisper Cober</v>
          </cell>
          <cell r="Q48" t="str">
            <v>Metal Ice Tray</v>
          </cell>
          <cell r="R48" t="str">
            <v>Egg Tray</v>
          </cell>
          <cell r="S48" t="str">
            <v>Toughened Glass Shelves - 4</v>
          </cell>
          <cell r="T48" t="str">
            <v>White LED Bulb</v>
          </cell>
          <cell r="V48" t="str">
            <v>XL Bottle Bin</v>
          </cell>
          <cell r="W48" t="str">
            <v>Lock &amp; Key</v>
          </cell>
          <cell r="Y48" t="str">
            <v>Inverter Compressor</v>
          </cell>
          <cell r="Z48" t="str">
            <v>R600A Refrigerant</v>
          </cell>
          <cell r="AA48" t="str">
            <v>A++</v>
          </cell>
        </row>
        <row r="49">
          <cell r="B49" t="str">
            <v>IFBDC-2133FBS</v>
          </cell>
          <cell r="D49" t="str">
            <v>RF</v>
          </cell>
          <cell r="E49" t="str">
            <v>RF-S</v>
          </cell>
          <cell r="F49" t="str">
            <v>https://www.ifbappliances.com/ifbdc-2133fbs</v>
          </cell>
          <cell r="G49">
            <v>19700</v>
          </cell>
          <cell r="H49">
            <v>18124</v>
          </cell>
          <cell r="I49" t="str">
            <v>IFB</v>
          </cell>
          <cell r="J49">
            <v>193</v>
          </cell>
          <cell r="K49">
            <v>33</v>
          </cell>
          <cell r="L49">
            <v>3</v>
          </cell>
          <cell r="M49" t="str">
            <v>Grey</v>
          </cell>
          <cell r="N49" t="str">
            <v>Converti Cool</v>
          </cell>
          <cell r="O49" t="str">
            <v>Copper Boost</v>
          </cell>
          <cell r="P49" t="str">
            <v>Quadra Crisper Cober</v>
          </cell>
          <cell r="Q49" t="str">
            <v>Metal Ice Tray</v>
          </cell>
          <cell r="R49" t="str">
            <v>Egg Tray</v>
          </cell>
          <cell r="S49" t="str">
            <v>Toughened Glass Shelves - 2</v>
          </cell>
          <cell r="T49" t="str">
            <v>White LED Bulb</v>
          </cell>
          <cell r="V49" t="str">
            <v>XL Bottle Bin</v>
          </cell>
          <cell r="W49" t="str">
            <v>Lock &amp; Key</v>
          </cell>
          <cell r="Y49" t="str">
            <v>Inverter Compressor</v>
          </cell>
          <cell r="Z49" t="str">
            <v>R600A Refrigerant</v>
          </cell>
          <cell r="AA49" t="str">
            <v>C</v>
          </cell>
        </row>
      </sheetData>
      <sheetData sheetId="9">
        <row r="2">
          <cell r="B2" t="str">
            <v>IFBFF-2902FKG</v>
          </cell>
          <cell r="D2" t="str">
            <v>RF</v>
          </cell>
          <cell r="E2" t="str">
            <v>RF-D</v>
          </cell>
          <cell r="F2" t="str">
            <v>https://www.ifbappliances.com/ifbff-2902fkg</v>
          </cell>
          <cell r="G2">
            <v>42450</v>
          </cell>
          <cell r="H2">
            <v>39054</v>
          </cell>
          <cell r="I2" t="str">
            <v>IFB</v>
          </cell>
          <cell r="J2">
            <v>260</v>
          </cell>
          <cell r="K2">
            <v>60</v>
          </cell>
          <cell r="L2">
            <v>2</v>
          </cell>
          <cell r="M2" t="str">
            <v>Black</v>
          </cell>
          <cell r="N2" t="str">
            <v>Surround Cooling</v>
          </cell>
          <cell r="O2" t="str">
            <v>Quadra Crisper Cober</v>
          </cell>
          <cell r="P2" t="str">
            <v>Active Deodoriser</v>
          </cell>
          <cell r="Q2" t="str">
            <v>Egg Tray</v>
          </cell>
          <cell r="R2" t="str">
            <v>Toughened Glass Shelves - 3</v>
          </cell>
          <cell r="S2" t="str">
            <v>White LED Bulb</v>
          </cell>
          <cell r="T2" t="str">
            <v>XL Bottle Bin</v>
          </cell>
          <cell r="U2" t="str">
            <v>Ice Twister</v>
          </cell>
          <cell r="Z2" t="str">
            <v>Fixed Speed Compressor</v>
          </cell>
          <cell r="AA2" t="str">
            <v>R600A Refrigerant</v>
          </cell>
          <cell r="AB2" t="str">
            <v>B</v>
          </cell>
        </row>
        <row r="3">
          <cell r="B3" t="str">
            <v>IFBFF-3362IKG</v>
          </cell>
          <cell r="D3" t="str">
            <v>RF</v>
          </cell>
          <cell r="E3" t="str">
            <v>RF-D</v>
          </cell>
          <cell r="F3" t="str">
            <v>https://www.ifbappliances.com/ifbff-3362ikg</v>
          </cell>
          <cell r="G3">
            <v>53250</v>
          </cell>
          <cell r="H3">
            <v>48990</v>
          </cell>
          <cell r="I3" t="str">
            <v>IFB</v>
          </cell>
          <cell r="J3">
            <v>306</v>
          </cell>
          <cell r="K3">
            <v>64</v>
          </cell>
          <cell r="L3">
            <v>2</v>
          </cell>
          <cell r="M3" t="str">
            <v>Black</v>
          </cell>
          <cell r="N3" t="str">
            <v>Surround Cooling</v>
          </cell>
          <cell r="O3" t="str">
            <v>Quadra Crisper Cober</v>
          </cell>
          <cell r="P3" t="str">
            <v>Active Deodoriser</v>
          </cell>
          <cell r="Q3" t="str">
            <v>Egg Tray</v>
          </cell>
          <cell r="R3" t="str">
            <v>Toughened Glass Shelves - 4</v>
          </cell>
          <cell r="S3" t="str">
            <v>White LED Bulb</v>
          </cell>
          <cell r="T3" t="str">
            <v>XL Bottle Bin</v>
          </cell>
          <cell r="U3" t="str">
            <v>Ice Twister</v>
          </cell>
          <cell r="Z3" t="str">
            <v>Inverter Compressor</v>
          </cell>
          <cell r="AA3" t="str">
            <v>R600A Refrigerant</v>
          </cell>
          <cell r="AB3" t="str">
            <v>A++</v>
          </cell>
        </row>
        <row r="4">
          <cell r="B4" t="str">
            <v>IFBFF-2902ISG</v>
          </cell>
          <cell r="D4" t="str">
            <v>RF</v>
          </cell>
          <cell r="E4" t="str">
            <v>RF-D</v>
          </cell>
          <cell r="F4" t="str">
            <v>https://www.ifbappliances.com/ifbff-2902isg</v>
          </cell>
          <cell r="G4">
            <v>42450</v>
          </cell>
          <cell r="H4">
            <v>39054</v>
          </cell>
          <cell r="I4" t="str">
            <v>IFB</v>
          </cell>
          <cell r="J4">
            <v>260</v>
          </cell>
          <cell r="K4">
            <v>56</v>
          </cell>
          <cell r="L4">
            <v>2</v>
          </cell>
          <cell r="M4" t="str">
            <v>Black</v>
          </cell>
          <cell r="N4" t="str">
            <v>Surround Cooling</v>
          </cell>
          <cell r="O4" t="str">
            <v>Quadra Crisper Cober</v>
          </cell>
          <cell r="P4" t="str">
            <v>Active Deodoriser</v>
          </cell>
          <cell r="Q4" t="str">
            <v>Egg Tray</v>
          </cell>
          <cell r="R4" t="str">
            <v>Toughened Glass Shelves - 4</v>
          </cell>
          <cell r="S4" t="str">
            <v>White LED Bulb</v>
          </cell>
          <cell r="T4" t="str">
            <v>XL Bottle Bin</v>
          </cell>
          <cell r="U4" t="str">
            <v>Ice Twister</v>
          </cell>
          <cell r="Z4" t="str">
            <v>Inverter Compressor</v>
          </cell>
          <cell r="AA4" t="str">
            <v>R600A Refrigerant</v>
          </cell>
          <cell r="AB4" t="str">
            <v>B</v>
          </cell>
        </row>
        <row r="5">
          <cell r="B5" t="str">
            <v>IFBFF-3362IRG</v>
          </cell>
          <cell r="D5" t="str">
            <v>RF</v>
          </cell>
          <cell r="E5" t="str">
            <v>RF-D</v>
          </cell>
          <cell r="F5" t="str">
            <v>https://www.ifbappliances.com/ifbff-3362irg</v>
          </cell>
          <cell r="G5">
            <v>57100</v>
          </cell>
          <cell r="H5">
            <v>52532</v>
          </cell>
          <cell r="I5" t="str">
            <v>IFB</v>
          </cell>
          <cell r="J5">
            <v>306</v>
          </cell>
          <cell r="K5">
            <v>64</v>
          </cell>
          <cell r="L5">
            <v>2</v>
          </cell>
          <cell r="M5" t="str">
            <v>Black</v>
          </cell>
          <cell r="N5" t="str">
            <v>Surround Cooling</v>
          </cell>
          <cell r="O5" t="str">
            <v>Quadra Crisper Cober</v>
          </cell>
          <cell r="P5" t="str">
            <v>Active Deodoriser</v>
          </cell>
          <cell r="Q5" t="str">
            <v>Egg Tray</v>
          </cell>
          <cell r="R5" t="str">
            <v>Toughened Glass Shelves - 4</v>
          </cell>
          <cell r="S5" t="str">
            <v>White LED Bulb</v>
          </cell>
          <cell r="T5" t="str">
            <v>XL Bottle Bin</v>
          </cell>
          <cell r="U5" t="str">
            <v>Ice Twister</v>
          </cell>
          <cell r="Z5" t="str">
            <v>Inverter Compressor</v>
          </cell>
          <cell r="AA5" t="str">
            <v>R600A Refrigerant</v>
          </cell>
          <cell r="AB5" t="str">
            <v>A++</v>
          </cell>
        </row>
        <row r="6">
          <cell r="B6" t="str">
            <v>IFBFF-3363IGSU</v>
          </cell>
          <cell r="D6" t="str">
            <v>RF</v>
          </cell>
          <cell r="E6" t="str">
            <v>RF-D</v>
          </cell>
          <cell r="F6" t="str">
            <v>https://www.ifbappliances.com/ifbff-3363igsu</v>
          </cell>
          <cell r="G6">
            <v>53250</v>
          </cell>
          <cell r="H6">
            <v>48990</v>
          </cell>
          <cell r="I6" t="str">
            <v>IFB</v>
          </cell>
          <cell r="J6">
            <v>306</v>
          </cell>
          <cell r="K6">
            <v>64</v>
          </cell>
          <cell r="L6">
            <v>3</v>
          </cell>
          <cell r="M6" t="str">
            <v>Black</v>
          </cell>
          <cell r="N6" t="str">
            <v>Surround Cooling</v>
          </cell>
          <cell r="O6" t="str">
            <v>Quadra Crisper Cober</v>
          </cell>
          <cell r="P6" t="str">
            <v>Smart Deodoriser</v>
          </cell>
          <cell r="Q6" t="str">
            <v>Egg Tray</v>
          </cell>
          <cell r="R6" t="str">
            <v>Toughened Glass Shelves - 4</v>
          </cell>
          <cell r="S6" t="str">
            <v>White LED Bulb</v>
          </cell>
          <cell r="T6" t="str">
            <v>XL Bottle Bin</v>
          </cell>
          <cell r="U6" t="str">
            <v>Ice Twister</v>
          </cell>
          <cell r="V6" t="str">
            <v>Door Alarm</v>
          </cell>
          <cell r="W6" t="str">
            <v>Lock &amp; Key</v>
          </cell>
          <cell r="X6" t="str">
            <v>Digital Display</v>
          </cell>
          <cell r="Y6" t="str">
            <v>7in1 Convertible</v>
          </cell>
          <cell r="Z6" t="str">
            <v>Inverter Compressor</v>
          </cell>
          <cell r="AA6" t="str">
            <v>R600A Refrigerant</v>
          </cell>
          <cell r="AB6" t="str">
            <v>A++</v>
          </cell>
        </row>
        <row r="7">
          <cell r="B7" t="str">
            <v>IFBFF-2913IBSU</v>
          </cell>
          <cell r="D7" t="str">
            <v>RF</v>
          </cell>
          <cell r="E7" t="str">
            <v>RF-D</v>
          </cell>
          <cell r="F7" t="str">
            <v>https://www.ifbappliances.com/ifbff-2913ibsu</v>
          </cell>
          <cell r="G7">
            <v>42000</v>
          </cell>
          <cell r="H7">
            <v>38640</v>
          </cell>
          <cell r="I7" t="str">
            <v>IFB</v>
          </cell>
          <cell r="J7">
            <v>260</v>
          </cell>
          <cell r="K7">
            <v>51</v>
          </cell>
          <cell r="L7">
            <v>3</v>
          </cell>
          <cell r="M7" t="str">
            <v>Grey</v>
          </cell>
          <cell r="N7" t="str">
            <v>Surround Cooling</v>
          </cell>
          <cell r="O7" t="str">
            <v>Quadra Crisper Cober</v>
          </cell>
          <cell r="Q7" t="str">
            <v>Egg Tray</v>
          </cell>
          <cell r="R7" t="str">
            <v>Toughened Glass Shelves - 4</v>
          </cell>
          <cell r="S7" t="str">
            <v>White LED Bulb</v>
          </cell>
          <cell r="T7" t="str">
            <v>XL Bottle Bin</v>
          </cell>
          <cell r="U7" t="str">
            <v>Ice Twister</v>
          </cell>
          <cell r="V7" t="str">
            <v>Door Alarm</v>
          </cell>
          <cell r="W7" t="str">
            <v>Lock &amp; Key</v>
          </cell>
          <cell r="X7" t="str">
            <v>Digital Display</v>
          </cell>
          <cell r="Y7" t="str">
            <v>7in1 Convertible</v>
          </cell>
          <cell r="Z7" t="str">
            <v>Inverter Compressor</v>
          </cell>
          <cell r="AA7" t="str">
            <v>R600A Refrigerant</v>
          </cell>
          <cell r="AB7" t="str">
            <v>B</v>
          </cell>
        </row>
        <row r="8">
          <cell r="B8" t="str">
            <v>IFBFF-3362ISG</v>
          </cell>
          <cell r="D8" t="str">
            <v>RF</v>
          </cell>
          <cell r="E8" t="str">
            <v>RF-D</v>
          </cell>
          <cell r="F8" t="str">
            <v>https://www.ifbappliances.com/ifbff-3362isg</v>
          </cell>
          <cell r="G8">
            <v>53250</v>
          </cell>
          <cell r="H8">
            <v>48990</v>
          </cell>
          <cell r="I8" t="str">
            <v>IFB</v>
          </cell>
          <cell r="J8">
            <v>306</v>
          </cell>
          <cell r="K8">
            <v>60</v>
          </cell>
          <cell r="L8">
            <v>2</v>
          </cell>
          <cell r="M8" t="str">
            <v>Black</v>
          </cell>
          <cell r="N8" t="str">
            <v>Surround Cooling</v>
          </cell>
          <cell r="O8" t="str">
            <v>Quadra Crisper Cober</v>
          </cell>
          <cell r="P8" t="str">
            <v>Active Deodoriser</v>
          </cell>
          <cell r="Q8" t="str">
            <v>Egg Tray</v>
          </cell>
          <cell r="R8" t="str">
            <v>Toughened Glass Shelves - 4</v>
          </cell>
          <cell r="S8" t="str">
            <v>White LED Bulb</v>
          </cell>
          <cell r="T8" t="str">
            <v>XL Bottle Bin</v>
          </cell>
          <cell r="U8" t="str">
            <v>Ice Twister</v>
          </cell>
          <cell r="Z8" t="str">
            <v>Inverter Compressor</v>
          </cell>
          <cell r="AA8" t="str">
            <v>R600A Refrigerant</v>
          </cell>
          <cell r="AB8" t="str">
            <v>A++</v>
          </cell>
        </row>
        <row r="9">
          <cell r="B9" t="str">
            <v>IFBFF-3152ISG</v>
          </cell>
          <cell r="D9" t="str">
            <v>RF</v>
          </cell>
          <cell r="E9" t="str">
            <v>RF-D</v>
          </cell>
          <cell r="F9" t="str">
            <v>https://www.ifbappliances.com/ifbff-3152isg</v>
          </cell>
          <cell r="G9">
            <v>47300</v>
          </cell>
          <cell r="H9">
            <v>43516</v>
          </cell>
          <cell r="I9" t="str">
            <v>IFB</v>
          </cell>
          <cell r="J9">
            <v>285</v>
          </cell>
          <cell r="K9">
            <v>60</v>
          </cell>
          <cell r="L9">
            <v>2</v>
          </cell>
          <cell r="M9" t="str">
            <v>Black</v>
          </cell>
          <cell r="N9" t="str">
            <v>Surround Cooling</v>
          </cell>
          <cell r="O9" t="str">
            <v>Quadra Crisper Cober</v>
          </cell>
          <cell r="P9" t="str">
            <v>Active Deodoriser</v>
          </cell>
          <cell r="Q9" t="str">
            <v>Egg Tray</v>
          </cell>
          <cell r="R9" t="str">
            <v>Toughened Glass Shelves - 4</v>
          </cell>
          <cell r="S9" t="str">
            <v>White LED Bulb</v>
          </cell>
          <cell r="T9" t="str">
            <v>XL Bottle Bin</v>
          </cell>
          <cell r="U9" t="str">
            <v>Ice Twister</v>
          </cell>
          <cell r="Z9" t="str">
            <v>Inverter Compressor</v>
          </cell>
          <cell r="AA9" t="str">
            <v>R600A Refrigerant</v>
          </cell>
          <cell r="AB9" t="str">
            <v>A+</v>
          </cell>
        </row>
        <row r="10">
          <cell r="B10" t="str">
            <v>IFBFF-3152IRG</v>
          </cell>
          <cell r="D10" t="str">
            <v>RF</v>
          </cell>
          <cell r="E10" t="str">
            <v>RF-D</v>
          </cell>
          <cell r="F10" t="str">
            <v>https://www.ifbappliances.com/ifbff-3152irg</v>
          </cell>
          <cell r="G10">
            <v>47300</v>
          </cell>
          <cell r="H10">
            <v>43516</v>
          </cell>
          <cell r="I10" t="str">
            <v>IFB</v>
          </cell>
          <cell r="J10">
            <v>285</v>
          </cell>
          <cell r="K10">
            <v>60</v>
          </cell>
          <cell r="L10">
            <v>2</v>
          </cell>
          <cell r="M10" t="str">
            <v>Black</v>
          </cell>
          <cell r="N10" t="str">
            <v>Surround Cooling</v>
          </cell>
          <cell r="O10" t="str">
            <v>Quadra Crisper Cober</v>
          </cell>
          <cell r="P10" t="str">
            <v>Active Deodoriser</v>
          </cell>
          <cell r="Q10" t="str">
            <v>Egg Tray</v>
          </cell>
          <cell r="R10" t="str">
            <v>Toughened Glass Shelves - 4</v>
          </cell>
          <cell r="S10" t="str">
            <v>White LED Bulb</v>
          </cell>
          <cell r="T10" t="str">
            <v>XL Bottle Bin</v>
          </cell>
          <cell r="U10" t="str">
            <v>Ice Twister</v>
          </cell>
          <cell r="Z10" t="str">
            <v>Inverter Compressor</v>
          </cell>
          <cell r="AA10" t="str">
            <v>R600A Refrigerant</v>
          </cell>
          <cell r="AB10" t="str">
            <v>A+</v>
          </cell>
        </row>
        <row r="11">
          <cell r="B11" t="str">
            <v>IFBFF-2902IRG</v>
          </cell>
          <cell r="D11" t="str">
            <v>RF</v>
          </cell>
          <cell r="E11" t="str">
            <v>RF-D</v>
          </cell>
          <cell r="F11" t="str">
            <v>https://www.ifbappliances.com/ifbff-2902irg</v>
          </cell>
          <cell r="G11">
            <v>44000</v>
          </cell>
          <cell r="H11">
            <v>40480</v>
          </cell>
          <cell r="I11" t="str">
            <v>IFB</v>
          </cell>
          <cell r="J11">
            <v>260</v>
          </cell>
          <cell r="K11">
            <v>56</v>
          </cell>
          <cell r="L11">
            <v>2</v>
          </cell>
          <cell r="M11" t="str">
            <v>Black</v>
          </cell>
          <cell r="N11" t="str">
            <v>Surround Cooling</v>
          </cell>
          <cell r="O11" t="str">
            <v>Quadra Crisper Cober</v>
          </cell>
          <cell r="P11" t="str">
            <v>Active Deodoriser</v>
          </cell>
          <cell r="Q11" t="str">
            <v>Egg Tray</v>
          </cell>
          <cell r="R11" t="str">
            <v>Toughened Glass Shelves - 4</v>
          </cell>
          <cell r="S11" t="str">
            <v>White LED Bulb</v>
          </cell>
          <cell r="T11" t="str">
            <v>XL Bottle Bin</v>
          </cell>
          <cell r="U11" t="str">
            <v>Ice Twister</v>
          </cell>
          <cell r="Z11" t="str">
            <v>Inverter Compressor</v>
          </cell>
          <cell r="AA11" t="str">
            <v>R600A Refrigerant</v>
          </cell>
          <cell r="AB11" t="str">
            <v>A</v>
          </cell>
        </row>
        <row r="12">
          <cell r="B12" t="str">
            <v>IFBFF-2902FSG</v>
          </cell>
          <cell r="D12" t="str">
            <v>RF</v>
          </cell>
          <cell r="E12" t="str">
            <v>RF-D</v>
          </cell>
          <cell r="F12" t="str">
            <v>https://www.ifbappliances.com/ifbff-2902fsg</v>
          </cell>
          <cell r="G12">
            <v>42450</v>
          </cell>
          <cell r="H12">
            <v>39054</v>
          </cell>
          <cell r="I12" t="str">
            <v>IFB</v>
          </cell>
          <cell r="J12">
            <v>260</v>
          </cell>
          <cell r="K12">
            <v>60</v>
          </cell>
          <cell r="L12">
            <v>2</v>
          </cell>
          <cell r="M12" t="str">
            <v>Black</v>
          </cell>
          <cell r="N12" t="str">
            <v>Surround Cooling</v>
          </cell>
          <cell r="O12" t="str">
            <v>Quadra Crisper Cober</v>
          </cell>
          <cell r="P12" t="str">
            <v>Active Deodoriser</v>
          </cell>
          <cell r="Q12" t="str">
            <v>Egg Tray</v>
          </cell>
          <cell r="R12" t="str">
            <v>Toughened Glass Shelves - 4</v>
          </cell>
          <cell r="S12" t="str">
            <v>White LED Bulb</v>
          </cell>
          <cell r="T12" t="str">
            <v>XL Bottle Bin</v>
          </cell>
          <cell r="U12" t="str">
            <v>Ice Twister</v>
          </cell>
          <cell r="Z12" t="str">
            <v>Fixed Speed Compressor</v>
          </cell>
          <cell r="AA12" t="str">
            <v>R600A Refrigerant</v>
          </cell>
          <cell r="AB12" t="str">
            <v>B</v>
          </cell>
        </row>
        <row r="13">
          <cell r="B13" t="str">
            <v>IFBFF-3363IMSU</v>
          </cell>
          <cell r="D13" t="str">
            <v>RF</v>
          </cell>
          <cell r="E13" t="str">
            <v>RF-D</v>
          </cell>
          <cell r="F13" t="str">
            <v>https://www.ifbappliances.com/ifbff-3363imsu</v>
          </cell>
          <cell r="G13">
            <v>53250</v>
          </cell>
          <cell r="H13">
            <v>48990</v>
          </cell>
          <cell r="I13" t="str">
            <v>IFB</v>
          </cell>
          <cell r="J13">
            <v>306</v>
          </cell>
          <cell r="K13">
            <v>57</v>
          </cell>
          <cell r="L13">
            <v>3</v>
          </cell>
          <cell r="M13" t="str">
            <v>Steel</v>
          </cell>
          <cell r="N13" t="str">
            <v>Surround Cooling</v>
          </cell>
          <cell r="O13" t="str">
            <v>Quadra Crisper Cober</v>
          </cell>
          <cell r="P13" t="str">
            <v>Smart Deodoriser</v>
          </cell>
          <cell r="Q13" t="str">
            <v>Egg Tray</v>
          </cell>
          <cell r="R13" t="str">
            <v>Toughened Glass Shelves - 4</v>
          </cell>
          <cell r="S13" t="str">
            <v>White LED Bulb</v>
          </cell>
          <cell r="T13" t="str">
            <v>XL Bottle Bin</v>
          </cell>
          <cell r="U13" t="str">
            <v>Ice Twister</v>
          </cell>
          <cell r="V13" t="str">
            <v>Door Alarm</v>
          </cell>
          <cell r="W13" t="str">
            <v>Lock &amp; Key</v>
          </cell>
          <cell r="X13" t="str">
            <v>Digital Display</v>
          </cell>
          <cell r="Y13" t="str">
            <v>7in1 Convertible</v>
          </cell>
          <cell r="Z13" t="str">
            <v>Inverter Compressor</v>
          </cell>
          <cell r="AA13" t="str">
            <v>R600A Refrigerant</v>
          </cell>
          <cell r="AB13" t="str">
            <v>A++</v>
          </cell>
        </row>
        <row r="14">
          <cell r="B14" t="str">
            <v>IFBFF-3153IGSU</v>
          </cell>
          <cell r="D14" t="str">
            <v>RF</v>
          </cell>
          <cell r="E14" t="str">
            <v>RF-D</v>
          </cell>
          <cell r="F14" t="str">
            <v>https://www.ifbappliances.com/ifbff-3153igsu</v>
          </cell>
          <cell r="G14">
            <v>46860</v>
          </cell>
          <cell r="H14">
            <v>43111.199999999997</v>
          </cell>
          <cell r="I14" t="str">
            <v>IFB</v>
          </cell>
          <cell r="J14">
            <v>285</v>
          </cell>
          <cell r="K14">
            <v>55</v>
          </cell>
          <cell r="L14">
            <v>3</v>
          </cell>
          <cell r="M14" t="str">
            <v>Grey</v>
          </cell>
          <cell r="N14" t="str">
            <v>Surround Cooling</v>
          </cell>
          <cell r="O14" t="str">
            <v>Quadra Crisper Cober</v>
          </cell>
          <cell r="P14" t="str">
            <v>Smart Deodoriser</v>
          </cell>
          <cell r="Q14" t="str">
            <v>Egg Tray</v>
          </cell>
          <cell r="R14" t="str">
            <v>Toughened Glass Shelves - 4</v>
          </cell>
          <cell r="S14" t="str">
            <v>White LED Bulb</v>
          </cell>
          <cell r="T14" t="str">
            <v>XL Bottle Bin</v>
          </cell>
          <cell r="U14" t="str">
            <v>Ice Twister</v>
          </cell>
          <cell r="V14" t="str">
            <v>Door Alarm</v>
          </cell>
          <cell r="W14" t="str">
            <v>Lock &amp; Key</v>
          </cell>
          <cell r="X14" t="str">
            <v>Digital Display</v>
          </cell>
          <cell r="Y14" t="str">
            <v>7in1 Convertible</v>
          </cell>
          <cell r="Z14" t="str">
            <v>Inverter Compressor</v>
          </cell>
          <cell r="AA14" t="str">
            <v>R600A Refrigerant</v>
          </cell>
          <cell r="AB14" t="str">
            <v>A+</v>
          </cell>
        </row>
        <row r="15">
          <cell r="B15" t="str">
            <v>IFBFF-2911FBS</v>
          </cell>
          <cell r="D15" t="str">
            <v>RF</v>
          </cell>
          <cell r="E15" t="str">
            <v>RF-D</v>
          </cell>
          <cell r="F15" t="str">
            <v>https://www.ifbappliances.com/ifbff-2911fbs</v>
          </cell>
          <cell r="G15">
            <v>32450</v>
          </cell>
          <cell r="H15">
            <v>29854</v>
          </cell>
          <cell r="I15" t="str">
            <v>IFB</v>
          </cell>
          <cell r="J15">
            <v>260</v>
          </cell>
          <cell r="K15">
            <v>53</v>
          </cell>
          <cell r="L15">
            <v>1</v>
          </cell>
          <cell r="M15" t="str">
            <v>Grey</v>
          </cell>
          <cell r="O15" t="str">
            <v>Quadra Crisper Cober</v>
          </cell>
          <cell r="P15" t="str">
            <v>Active Deodoriser</v>
          </cell>
          <cell r="Q15" t="str">
            <v>Egg Tray</v>
          </cell>
          <cell r="R15" t="str">
            <v>Toughened Glass Shelves - 3</v>
          </cell>
          <cell r="S15" t="str">
            <v>White LED Bulb</v>
          </cell>
          <cell r="Z15" t="str">
            <v>Non-Inverter Compressor</v>
          </cell>
          <cell r="AA15" t="str">
            <v>R600A Refrigerant</v>
          </cell>
          <cell r="AB15" t="str">
            <v>C</v>
          </cell>
        </row>
        <row r="16">
          <cell r="B16" t="str">
            <v>IFBFF-2902FBS</v>
          </cell>
          <cell r="D16" t="str">
            <v>RF</v>
          </cell>
          <cell r="E16" t="str">
            <v>RF-D</v>
          </cell>
          <cell r="F16" t="str">
            <v>https://www.ifbappliances.com/ifbff-2902fbs</v>
          </cell>
          <cell r="G16">
            <v>35650</v>
          </cell>
          <cell r="H16">
            <v>32798</v>
          </cell>
          <cell r="I16" t="str">
            <v>IFB</v>
          </cell>
          <cell r="J16">
            <v>260</v>
          </cell>
          <cell r="K16">
            <v>54</v>
          </cell>
          <cell r="L16">
            <v>2</v>
          </cell>
          <cell r="M16" t="str">
            <v>Grey</v>
          </cell>
          <cell r="N16" t="str">
            <v>Surround Cooling</v>
          </cell>
          <cell r="O16" t="str">
            <v>Quadra Crisper Cober</v>
          </cell>
          <cell r="P16" t="str">
            <v>Active Deodoriser</v>
          </cell>
          <cell r="Q16" t="str">
            <v>Egg Tray</v>
          </cell>
          <cell r="R16" t="str">
            <v>Toughened Glass Shelves - 3</v>
          </cell>
          <cell r="S16" t="str">
            <v>White LED Bulb</v>
          </cell>
          <cell r="T16" t="str">
            <v>XL Bottle Bin</v>
          </cell>
          <cell r="U16" t="str">
            <v>Ice Twister</v>
          </cell>
          <cell r="W16" t="str">
            <v>Lock &amp; Key</v>
          </cell>
          <cell r="Z16" t="str">
            <v>Non-Inverter Compressor</v>
          </cell>
          <cell r="AA16" t="str">
            <v>R600A Refrigerant</v>
          </cell>
          <cell r="AB16" t="str">
            <v>C</v>
          </cell>
        </row>
        <row r="17">
          <cell r="B17" t="str">
            <v>IFBFF-2902FKS</v>
          </cell>
          <cell r="D17" t="str">
            <v>RF</v>
          </cell>
          <cell r="E17" t="str">
            <v>RF-D</v>
          </cell>
          <cell r="F17" t="str">
            <v>https://www.ifbappliances.com/ifbff-2902fks</v>
          </cell>
          <cell r="G17">
            <v>36500</v>
          </cell>
          <cell r="H17">
            <v>33580</v>
          </cell>
          <cell r="I17" t="str">
            <v>IFB</v>
          </cell>
          <cell r="J17">
            <v>260</v>
          </cell>
          <cell r="K17">
            <v>53</v>
          </cell>
          <cell r="L17">
            <v>2</v>
          </cell>
          <cell r="M17" t="str">
            <v>Black</v>
          </cell>
          <cell r="N17" t="str">
            <v>Surround Cooling</v>
          </cell>
          <cell r="O17" t="str">
            <v>Quadra Crisper Cober</v>
          </cell>
          <cell r="P17" t="str">
            <v>Active Deodoriser</v>
          </cell>
          <cell r="Q17" t="str">
            <v>Egg Tray</v>
          </cell>
          <cell r="R17" t="str">
            <v>Toughened Glass Shelves - 3</v>
          </cell>
          <cell r="S17" t="str">
            <v>White LED Bulb</v>
          </cell>
          <cell r="U17" t="str">
            <v>Ice Twister</v>
          </cell>
          <cell r="W17" t="str">
            <v>Lock &amp; Key</v>
          </cell>
          <cell r="Z17" t="str">
            <v>Non-Inverter Compressor</v>
          </cell>
          <cell r="AA17" t="str">
            <v>R600A Refrigerant</v>
          </cell>
          <cell r="AB17" t="str">
            <v>C</v>
          </cell>
        </row>
        <row r="18">
          <cell r="B18" t="str">
            <v>IFBFF-2911FKS</v>
          </cell>
          <cell r="D18" t="str">
            <v>RF</v>
          </cell>
          <cell r="E18" t="str">
            <v>RF-D</v>
          </cell>
          <cell r="F18" t="str">
            <v>https://www.ifbappliances.com/ifbff-2911fks</v>
          </cell>
          <cell r="G18">
            <v>33450</v>
          </cell>
          <cell r="H18">
            <v>30774</v>
          </cell>
          <cell r="I18" t="str">
            <v>IFB</v>
          </cell>
          <cell r="J18">
            <v>260</v>
          </cell>
          <cell r="K18">
            <v>53</v>
          </cell>
          <cell r="L18">
            <v>1</v>
          </cell>
          <cell r="M18" t="str">
            <v>Black</v>
          </cell>
          <cell r="O18" t="str">
            <v>Quadra Crisper Cober</v>
          </cell>
          <cell r="P18" t="str">
            <v>Active Deodoriser</v>
          </cell>
          <cell r="Q18" t="str">
            <v>Egg Tray</v>
          </cell>
          <cell r="R18" t="str">
            <v>Toughened Glass Shelves - 3</v>
          </cell>
          <cell r="S18" t="str">
            <v>White LED Bulb</v>
          </cell>
          <cell r="T18" t="str">
            <v>XL Bottle Bin</v>
          </cell>
          <cell r="X18" t="str">
            <v>Digital Display</v>
          </cell>
          <cell r="Z18" t="str">
            <v>Non-Inverter Compressor</v>
          </cell>
          <cell r="AA18" t="str">
            <v>R600A Refrigerant</v>
          </cell>
          <cell r="AB18" t="str">
            <v>C</v>
          </cell>
        </row>
        <row r="19">
          <cell r="B19" t="str">
            <v>IFBFF-2902FBB</v>
          </cell>
          <cell r="D19" t="str">
            <v>RF</v>
          </cell>
          <cell r="E19" t="str">
            <v>RF-D</v>
          </cell>
          <cell r="F19" t="str">
            <v>https://www.ifbappliances.com/ifbff-2902fbb</v>
          </cell>
          <cell r="G19">
            <v>39400</v>
          </cell>
          <cell r="H19">
            <v>36248</v>
          </cell>
          <cell r="I19" t="str">
            <v>IFB</v>
          </cell>
          <cell r="J19">
            <v>260</v>
          </cell>
          <cell r="K19">
            <v>54</v>
          </cell>
          <cell r="L19">
            <v>2</v>
          </cell>
          <cell r="M19" t="str">
            <v>Blue</v>
          </cell>
          <cell r="N19" t="str">
            <v>Surround Cooling</v>
          </cell>
          <cell r="O19" t="str">
            <v>Quadra Crisper Cober</v>
          </cell>
          <cell r="P19" t="str">
            <v>Smart Deodoriser</v>
          </cell>
          <cell r="Q19" t="str">
            <v>Egg Tray</v>
          </cell>
          <cell r="R19" t="str">
            <v>Toughened Glass Shelves - 3</v>
          </cell>
          <cell r="S19" t="str">
            <v>White LED Bulb</v>
          </cell>
          <cell r="T19" t="str">
            <v>XL Bottle Bin</v>
          </cell>
          <cell r="U19" t="str">
            <v>Ice Twister</v>
          </cell>
          <cell r="W19" t="str">
            <v>Lock &amp; Key</v>
          </cell>
          <cell r="Z19" t="str">
            <v>Non-Inverter Compressor</v>
          </cell>
          <cell r="AA19" t="str">
            <v>R600A Refrigerant</v>
          </cell>
          <cell r="AB19" t="str">
            <v>B</v>
          </cell>
        </row>
        <row r="20">
          <cell r="B20" t="str">
            <v>IFBFF-3152FBS</v>
          </cell>
          <cell r="D20" t="str">
            <v>RF</v>
          </cell>
          <cell r="E20" t="str">
            <v>RF-D</v>
          </cell>
          <cell r="F20" t="str">
            <v>https://www.ifbappliances.com/ifbff-3152fbs</v>
          </cell>
          <cell r="G20">
            <v>39700</v>
          </cell>
          <cell r="H20">
            <v>36524</v>
          </cell>
          <cell r="I20" t="str">
            <v>IFB</v>
          </cell>
          <cell r="J20">
            <v>285</v>
          </cell>
          <cell r="K20">
            <v>57</v>
          </cell>
          <cell r="L20">
            <v>2</v>
          </cell>
          <cell r="M20" t="str">
            <v>Grey</v>
          </cell>
          <cell r="N20" t="str">
            <v>Surround Cooling</v>
          </cell>
          <cell r="O20" t="str">
            <v>Quadra Crisper Cober</v>
          </cell>
          <cell r="P20" t="str">
            <v>Active Deodoriser</v>
          </cell>
          <cell r="Q20" t="str">
            <v>Egg Tray</v>
          </cell>
          <cell r="R20" t="str">
            <v>Toughened Glass Shelves - 4</v>
          </cell>
          <cell r="S20" t="str">
            <v>White LED Bulb</v>
          </cell>
          <cell r="T20" t="str">
            <v>XL Bottle Bin</v>
          </cell>
          <cell r="U20" t="str">
            <v>Ice Twister</v>
          </cell>
          <cell r="W20" t="str">
            <v>Lock &amp; Key</v>
          </cell>
          <cell r="Z20" t="str">
            <v>Non-Inverter Compressor</v>
          </cell>
          <cell r="AA20" t="str">
            <v>R600A Refrigerant</v>
          </cell>
          <cell r="AB20" t="str">
            <v>B</v>
          </cell>
        </row>
        <row r="21">
          <cell r="B21" t="str">
            <v>IFBFF-2902FRB</v>
          </cell>
          <cell r="D21" t="str">
            <v>RF</v>
          </cell>
          <cell r="E21" t="str">
            <v>RF-D</v>
          </cell>
          <cell r="F21" t="str">
            <v>https://www.ifbappliances.com/ifbff-2902frb</v>
          </cell>
          <cell r="G21">
            <v>39400</v>
          </cell>
          <cell r="H21">
            <v>36248</v>
          </cell>
          <cell r="I21" t="str">
            <v>IFB</v>
          </cell>
          <cell r="J21">
            <v>260</v>
          </cell>
          <cell r="K21">
            <v>54</v>
          </cell>
          <cell r="L21">
            <v>2</v>
          </cell>
          <cell r="M21" t="str">
            <v>Red</v>
          </cell>
          <cell r="N21" t="str">
            <v>Surround Cooling</v>
          </cell>
          <cell r="O21" t="str">
            <v>Quadra Crisper Cober</v>
          </cell>
          <cell r="Q21" t="str">
            <v>Egg Tray</v>
          </cell>
          <cell r="R21" t="str">
            <v>Toughened Glass Shelves - 3</v>
          </cell>
          <cell r="S21" t="str">
            <v>White LED Bulb</v>
          </cell>
          <cell r="U21" t="str">
            <v>Ice Twister</v>
          </cell>
          <cell r="W21" t="str">
            <v>Lock &amp; Key</v>
          </cell>
          <cell r="Z21" t="str">
            <v>Non-Inverter Compressor</v>
          </cell>
          <cell r="AA21" t="str">
            <v>R600A Refrigerant</v>
          </cell>
          <cell r="AB21" t="str">
            <v>B</v>
          </cell>
        </row>
        <row r="22">
          <cell r="B22" t="str">
            <v>IFBFF-2902IGS</v>
          </cell>
          <cell r="D22" t="str">
            <v>RF</v>
          </cell>
          <cell r="E22" t="str">
            <v>RF-D</v>
          </cell>
          <cell r="F22" t="str">
            <v>https://www.ifbappliances.com/ifbff-2902igs</v>
          </cell>
          <cell r="G22">
            <v>36050</v>
          </cell>
          <cell r="H22">
            <v>33166</v>
          </cell>
          <cell r="I22" t="str">
            <v>IFB</v>
          </cell>
          <cell r="J22">
            <v>260</v>
          </cell>
          <cell r="K22">
            <v>50</v>
          </cell>
          <cell r="L22">
            <v>2</v>
          </cell>
          <cell r="M22" t="str">
            <v>Grey</v>
          </cell>
          <cell r="N22" t="str">
            <v>Surround Cooling</v>
          </cell>
          <cell r="O22" t="str">
            <v>Quadra Crisper Cober</v>
          </cell>
          <cell r="P22" t="str">
            <v>Active Deodoriser</v>
          </cell>
          <cell r="Q22" t="str">
            <v>Egg Tray</v>
          </cell>
          <cell r="R22" t="str">
            <v>Toughened Glass Shelves - 3</v>
          </cell>
          <cell r="S22" t="str">
            <v>White LED Bulb</v>
          </cell>
          <cell r="U22" t="str">
            <v>Ice Twister</v>
          </cell>
          <cell r="W22" t="str">
            <v>Lock &amp; Key</v>
          </cell>
          <cell r="Z22" t="str">
            <v>Inverter Compressor</v>
          </cell>
          <cell r="AA22" t="str">
            <v>R600A Refrigerant</v>
          </cell>
          <cell r="AB22" t="str">
            <v>C</v>
          </cell>
        </row>
        <row r="23">
          <cell r="B23" t="str">
            <v>IFBFF-3152IKS</v>
          </cell>
          <cell r="D23" t="str">
            <v>RF</v>
          </cell>
          <cell r="E23" t="str">
            <v>RF-D</v>
          </cell>
          <cell r="F23" t="str">
            <v>https://www.ifbappliances.com/ifbff-3152iks</v>
          </cell>
          <cell r="G23">
            <v>41900</v>
          </cell>
          <cell r="H23">
            <v>38548</v>
          </cell>
          <cell r="I23" t="str">
            <v>IFB</v>
          </cell>
          <cell r="J23">
            <v>285</v>
          </cell>
          <cell r="K23">
            <v>53</v>
          </cell>
          <cell r="L23">
            <v>2</v>
          </cell>
          <cell r="M23" t="str">
            <v>Black</v>
          </cell>
          <cell r="N23" t="str">
            <v>Surround Cooling</v>
          </cell>
          <cell r="O23" t="str">
            <v>Quadra Crisper Cober</v>
          </cell>
          <cell r="P23" t="str">
            <v>Active Deodoriser</v>
          </cell>
          <cell r="Q23" t="str">
            <v>Egg Tray</v>
          </cell>
          <cell r="R23" t="str">
            <v>Toughened Glass Shelves - 4</v>
          </cell>
          <cell r="S23" t="str">
            <v>White LED Bulb</v>
          </cell>
          <cell r="U23" t="str">
            <v>Ice Twister</v>
          </cell>
          <cell r="W23" t="str">
            <v>Lock &amp; Key</v>
          </cell>
          <cell r="Z23" t="str">
            <v>Inverter Compressor</v>
          </cell>
          <cell r="AA23" t="str">
            <v>R600A Refrigerant</v>
          </cell>
          <cell r="AB23" t="str">
            <v>B</v>
          </cell>
        </row>
        <row r="24">
          <cell r="B24" t="str">
            <v>IFBFF-3362IBS</v>
          </cell>
          <cell r="D24" t="str">
            <v>RF</v>
          </cell>
          <cell r="E24" t="str">
            <v>RF-D</v>
          </cell>
          <cell r="F24" t="str">
            <v>https://www.ifbappliances.com/ifbff-3362ibs</v>
          </cell>
          <cell r="G24">
            <v>48200</v>
          </cell>
          <cell r="H24">
            <v>44344</v>
          </cell>
          <cell r="I24" t="str">
            <v>IFB</v>
          </cell>
          <cell r="J24">
            <v>306</v>
          </cell>
          <cell r="K24">
            <v>56</v>
          </cell>
          <cell r="L24">
            <v>2</v>
          </cell>
          <cell r="M24" t="str">
            <v>Grey</v>
          </cell>
          <cell r="N24" t="str">
            <v>Surround Cooling</v>
          </cell>
          <cell r="O24" t="str">
            <v>Quadra Crisper Cober</v>
          </cell>
          <cell r="P24" t="str">
            <v>Active Deodoriser</v>
          </cell>
          <cell r="Q24" t="str">
            <v>Egg Tray</v>
          </cell>
          <cell r="R24" t="str">
            <v>Toughened Glass Shelves - 4</v>
          </cell>
          <cell r="S24" t="str">
            <v>White LED Bulb</v>
          </cell>
          <cell r="U24" t="str">
            <v>Ice Twister</v>
          </cell>
          <cell r="W24" t="str">
            <v>Lock &amp; Key</v>
          </cell>
          <cell r="Z24" t="str">
            <v>Inverter Compressor</v>
          </cell>
          <cell r="AA24" t="str">
            <v>R600A Refrigerant</v>
          </cell>
          <cell r="AB24" t="str">
            <v>A+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fbappliances.com/senator-plus-srs" TargetMode="External"/><Relationship Id="rId18" Type="http://schemas.openxmlformats.org/officeDocument/2006/relationships/hyperlink" Target="https://www.ifbappliances.com/senator-mxs-8014" TargetMode="External"/><Relationship Id="rId26" Type="http://schemas.openxmlformats.org/officeDocument/2006/relationships/hyperlink" Target="https://www.ifbappliances.com/executive-plus-vx-eco-inverter" TargetMode="External"/><Relationship Id="rId39" Type="http://schemas.openxmlformats.org/officeDocument/2006/relationships/hyperlink" Target="https://www.ifbappliances.com/neo-diva-vxs" TargetMode="External"/><Relationship Id="rId21" Type="http://schemas.openxmlformats.org/officeDocument/2006/relationships/hyperlink" Target="https://www.ifbappliances.com/senator-plus-mxs" TargetMode="External"/><Relationship Id="rId34" Type="http://schemas.openxmlformats.org/officeDocument/2006/relationships/hyperlink" Target="https://www.ifbappliances.com/executive-sxs-9014" TargetMode="External"/><Relationship Id="rId42" Type="http://schemas.openxmlformats.org/officeDocument/2006/relationships/hyperlink" Target="https://www.ifbappliances.com/senator-neo-mxs" TargetMode="External"/><Relationship Id="rId47" Type="http://schemas.openxmlformats.org/officeDocument/2006/relationships/hyperlink" Target="https://www.ifbappliances.com/diva-aqua-vss-6-kg" TargetMode="External"/><Relationship Id="rId50" Type="http://schemas.openxmlformats.org/officeDocument/2006/relationships/hyperlink" Target="https://www.ifbappliances.com/elena-zx-6-5-kg-1000-rpm" TargetMode="External"/><Relationship Id="rId55" Type="http://schemas.openxmlformats.org/officeDocument/2006/relationships/hyperlink" Target="https://www.ifbappliances.com/senator-msn-8014" TargetMode="External"/><Relationship Id="rId63" Type="http://schemas.openxmlformats.org/officeDocument/2006/relationships/hyperlink" Target="https://www.ifbappliances.com/senator-mbn-8012" TargetMode="External"/><Relationship Id="rId7" Type="http://schemas.openxmlformats.org/officeDocument/2006/relationships/hyperlink" Target="https://www.ifbappliances.com/senorita-sxs" TargetMode="External"/><Relationship Id="rId2" Type="http://schemas.openxmlformats.org/officeDocument/2006/relationships/hyperlink" Target="https://www.ifbappliances.com/senator-plus-sxc-8014" TargetMode="External"/><Relationship Id="rId16" Type="http://schemas.openxmlformats.org/officeDocument/2006/relationships/hyperlink" Target="https://www.ifbappliances.com/neo-diva-sxs-6-kg" TargetMode="External"/><Relationship Id="rId29" Type="http://schemas.openxmlformats.org/officeDocument/2006/relationships/hyperlink" Target="https://www.ifbappliances.com/executive-mxs-id-1014" TargetMode="External"/><Relationship Id="rId11" Type="http://schemas.openxmlformats.org/officeDocument/2006/relationships/hyperlink" Target="https://www.ifbappliances.com/diva-aqua-vss-7010" TargetMode="External"/><Relationship Id="rId24" Type="http://schemas.openxmlformats.org/officeDocument/2006/relationships/hyperlink" Target="https://www.ifbappliances.com/diva-aqua-sxs-6-kg" TargetMode="External"/><Relationship Id="rId32" Type="http://schemas.openxmlformats.org/officeDocument/2006/relationships/hyperlink" Target="https://www.ifbappliances.com/elite-mxs-7012" TargetMode="External"/><Relationship Id="rId37" Type="http://schemas.openxmlformats.org/officeDocument/2006/relationships/hyperlink" Target="https://www.ifbappliances.com/senator-vxs-8-kg-1200-rpm" TargetMode="External"/><Relationship Id="rId40" Type="http://schemas.openxmlformats.org/officeDocument/2006/relationships/hyperlink" Target="https://www.ifbappliances.com/senator-plus-vxs" TargetMode="External"/><Relationship Id="rId45" Type="http://schemas.openxmlformats.org/officeDocument/2006/relationships/hyperlink" Target="https://www.ifbappliances.com/neo-diva-wss" TargetMode="External"/><Relationship Id="rId53" Type="http://schemas.openxmlformats.org/officeDocument/2006/relationships/hyperlink" Target="https://www.ifbappliances.com/serena-wxs-7-kg-1200-rpm" TargetMode="External"/><Relationship Id="rId58" Type="http://schemas.openxmlformats.org/officeDocument/2006/relationships/hyperlink" Target="https://www.ifbappliances.com/executive-mbn-9014k" TargetMode="External"/><Relationship Id="rId5" Type="http://schemas.openxmlformats.org/officeDocument/2006/relationships/hyperlink" Target="https://www.ifbappliances.com/executive-mxc-9014" TargetMode="External"/><Relationship Id="rId61" Type="http://schemas.openxmlformats.org/officeDocument/2006/relationships/hyperlink" Target="https://www.ifbappliances.com/senator-bxn-8012" TargetMode="External"/><Relationship Id="rId19" Type="http://schemas.openxmlformats.org/officeDocument/2006/relationships/hyperlink" Target="https://www.ifbappliances.com/senator-zms" TargetMode="External"/><Relationship Id="rId14" Type="http://schemas.openxmlformats.org/officeDocument/2006/relationships/hyperlink" Target="https://www.ifbappliances.com/senator-mxs" TargetMode="External"/><Relationship Id="rId22" Type="http://schemas.openxmlformats.org/officeDocument/2006/relationships/hyperlink" Target="https://www.ifbappliances.com/neo-diva-sxs-7010" TargetMode="External"/><Relationship Id="rId27" Type="http://schemas.openxmlformats.org/officeDocument/2006/relationships/hyperlink" Target="https://www.ifbappliances.com/elena-plus-sxs" TargetMode="External"/><Relationship Id="rId30" Type="http://schemas.openxmlformats.org/officeDocument/2006/relationships/hyperlink" Target="https://www.ifbappliances.com/executive-plus-vsc-1014" TargetMode="External"/><Relationship Id="rId35" Type="http://schemas.openxmlformats.org/officeDocument/2006/relationships/hyperlink" Target="https://www.ifbappliances.com/elite-plus-wss-7-kg" TargetMode="External"/><Relationship Id="rId43" Type="http://schemas.openxmlformats.org/officeDocument/2006/relationships/hyperlink" Target="https://www.ifbappliances.com/senator-neo-sxs-8012" TargetMode="External"/><Relationship Id="rId48" Type="http://schemas.openxmlformats.org/officeDocument/2006/relationships/hyperlink" Target="https://www.ifbappliances.com/elena-sxs" TargetMode="External"/><Relationship Id="rId56" Type="http://schemas.openxmlformats.org/officeDocument/2006/relationships/hyperlink" Target="https://www.ifbappliances.com/diva-aqua-sbs-6008" TargetMode="External"/><Relationship Id="rId64" Type="http://schemas.openxmlformats.org/officeDocument/2006/relationships/hyperlink" Target="https://www.ifbappliances.com/executive-sxn-9014k" TargetMode="External"/><Relationship Id="rId8" Type="http://schemas.openxmlformats.org/officeDocument/2006/relationships/hyperlink" Target="https://www.ifbappliances.com/senorita-vxs" TargetMode="External"/><Relationship Id="rId51" Type="http://schemas.openxmlformats.org/officeDocument/2006/relationships/hyperlink" Target="https://www.ifbappliances.com/elite-zxs-7kg-1000-rpm" TargetMode="External"/><Relationship Id="rId3" Type="http://schemas.openxmlformats.org/officeDocument/2006/relationships/hyperlink" Target="https://www.ifbappliances.com/executive-plus-mxc-1014" TargetMode="External"/><Relationship Id="rId12" Type="http://schemas.openxmlformats.org/officeDocument/2006/relationships/hyperlink" Target="https://www.ifbappliances.com/executive-mss-id" TargetMode="External"/><Relationship Id="rId17" Type="http://schemas.openxmlformats.org/officeDocument/2006/relationships/hyperlink" Target="https://www.ifbappliances.com/elite-zss" TargetMode="External"/><Relationship Id="rId25" Type="http://schemas.openxmlformats.org/officeDocument/2006/relationships/hyperlink" Target="https://www.ifbappliances.com/neo-diva-vxs-6010" TargetMode="External"/><Relationship Id="rId33" Type="http://schemas.openxmlformats.org/officeDocument/2006/relationships/hyperlink" Target="https://www.ifbappliances.com/senator-vss" TargetMode="External"/><Relationship Id="rId38" Type="http://schemas.openxmlformats.org/officeDocument/2006/relationships/hyperlink" Target="https://www.ifbappliances.com/elena-sbs" TargetMode="External"/><Relationship Id="rId46" Type="http://schemas.openxmlformats.org/officeDocument/2006/relationships/hyperlink" Target="https://www.ifbappliances.com/eva-plus-zws" TargetMode="External"/><Relationship Id="rId59" Type="http://schemas.openxmlformats.org/officeDocument/2006/relationships/hyperlink" Target="https://www.ifbappliances.com/senator-sxn-8014" TargetMode="External"/><Relationship Id="rId20" Type="http://schemas.openxmlformats.org/officeDocument/2006/relationships/hyperlink" Target="https://www.ifbappliances.com/senator-plus-sxs" TargetMode="External"/><Relationship Id="rId41" Type="http://schemas.openxmlformats.org/officeDocument/2006/relationships/hyperlink" Target="https://www.ifbappliances.com/neo-diva-bxs" TargetMode="External"/><Relationship Id="rId54" Type="http://schemas.openxmlformats.org/officeDocument/2006/relationships/hyperlink" Target="https://www.ifbappliances.com/executive-smart-touch-sxs" TargetMode="External"/><Relationship Id="rId62" Type="http://schemas.openxmlformats.org/officeDocument/2006/relationships/hyperlink" Target="https://www.ifbappliances.com/executive-msn-9014k" TargetMode="External"/><Relationship Id="rId1" Type="http://schemas.openxmlformats.org/officeDocument/2006/relationships/hyperlink" Target="https://www.ifbappliances.com/senator-plus-msc-8014" TargetMode="External"/><Relationship Id="rId6" Type="http://schemas.openxmlformats.org/officeDocument/2006/relationships/hyperlink" Target="https://www.ifbappliances.com/senator-wss-steam-8-kg-1400-rpm" TargetMode="External"/><Relationship Id="rId15" Type="http://schemas.openxmlformats.org/officeDocument/2006/relationships/hyperlink" Target="https://www.ifbappliances.com/senator-sxs" TargetMode="External"/><Relationship Id="rId23" Type="http://schemas.openxmlformats.org/officeDocument/2006/relationships/hyperlink" Target="https://www.ifbappliances.com/diva-aqua-bxs" TargetMode="External"/><Relationship Id="rId28" Type="http://schemas.openxmlformats.org/officeDocument/2006/relationships/hyperlink" Target="https://www.ifbappliances.com/diva-aqua-sxs-7010" TargetMode="External"/><Relationship Id="rId36" Type="http://schemas.openxmlformats.org/officeDocument/2006/relationships/hyperlink" Target="https://www.ifbappliances.com/executive-msc-9014" TargetMode="External"/><Relationship Id="rId49" Type="http://schemas.openxmlformats.org/officeDocument/2006/relationships/hyperlink" Target="https://www.ifbappliances.com/senorita-wxs-6-5-kg-1000-rpm" TargetMode="External"/><Relationship Id="rId57" Type="http://schemas.openxmlformats.org/officeDocument/2006/relationships/hyperlink" Target="https://www.ifbappliances.com/senator-gxn-8012" TargetMode="External"/><Relationship Id="rId10" Type="http://schemas.openxmlformats.org/officeDocument/2006/relationships/hyperlink" Target="https://www.ifbappliances.com/elena-zss" TargetMode="External"/><Relationship Id="rId31" Type="http://schemas.openxmlformats.org/officeDocument/2006/relationships/hyperlink" Target="https://www.ifbappliances.com/diva-aqua-sbs-6-kg" TargetMode="External"/><Relationship Id="rId44" Type="http://schemas.openxmlformats.org/officeDocument/2006/relationships/hyperlink" Target="https://www.ifbappliances.com/senator-neo-vxs-8012" TargetMode="External"/><Relationship Id="rId52" Type="http://schemas.openxmlformats.org/officeDocument/2006/relationships/hyperlink" Target="https://www.ifbappliances.com/senator-smart-touch-sx-8-5-kg" TargetMode="External"/><Relationship Id="rId60" Type="http://schemas.openxmlformats.org/officeDocument/2006/relationships/hyperlink" Target="https://www.ifbappliances.com/executive-bxn-9014k" TargetMode="External"/><Relationship Id="rId4" Type="http://schemas.openxmlformats.org/officeDocument/2006/relationships/hyperlink" Target="https://www.ifbappliances.com/senator-plus-mxc-8014" TargetMode="External"/><Relationship Id="rId9" Type="http://schemas.openxmlformats.org/officeDocument/2006/relationships/hyperlink" Target="https://www.ifbappliances.com/serena-zs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fbappliances.com/tl-rgs-7kg-aqua-720-rpm" TargetMode="External"/><Relationship Id="rId18" Type="http://schemas.openxmlformats.org/officeDocument/2006/relationships/hyperlink" Target="https://www.ifbappliances.com/tl-r1brs-7-kg-aqua" TargetMode="External"/><Relationship Id="rId26" Type="http://schemas.openxmlformats.org/officeDocument/2006/relationships/hyperlink" Target="https://www.ifbappliances.com/tl-rew" TargetMode="External"/><Relationship Id="rId39" Type="http://schemas.openxmlformats.org/officeDocument/2006/relationships/hyperlink" Target="https://www.ifbappliances.com/tl-s1wrs-7-kg-aqua" TargetMode="External"/><Relationship Id="rId21" Type="http://schemas.openxmlformats.org/officeDocument/2006/relationships/hyperlink" Target="https://www.ifbappliances.com/tl-s1wrs-8-kg-aqua" TargetMode="External"/><Relationship Id="rId34" Type="http://schemas.openxmlformats.org/officeDocument/2006/relationships/hyperlink" Target="https://www.ifbappliances.com/tl-sdg-6-5kg-aqua-720-rpm" TargetMode="External"/><Relationship Id="rId42" Type="http://schemas.openxmlformats.org/officeDocument/2006/relationships/hyperlink" Target="https://www.ifbappliances.com/tl-spss-6-5-kg-aqua" TargetMode="External"/><Relationship Id="rId7" Type="http://schemas.openxmlformats.org/officeDocument/2006/relationships/hyperlink" Target="https://www.ifbappliances.com/tl-spgs-7-kg-aqua" TargetMode="External"/><Relationship Id="rId2" Type="http://schemas.openxmlformats.org/officeDocument/2006/relationships/hyperlink" Target="https://www.ifbappliances.com/tl-slbs-9-kg-aqua" TargetMode="External"/><Relationship Id="rId16" Type="http://schemas.openxmlformats.org/officeDocument/2006/relationships/hyperlink" Target="https://www.ifbappliances.com/tl-r2brs-6-5-kg-aqua" TargetMode="External"/><Relationship Id="rId20" Type="http://schemas.openxmlformats.org/officeDocument/2006/relationships/hyperlink" Target="https://www.ifbappliances.com/tl-s4rbs-9-kg-aqua" TargetMode="External"/><Relationship Id="rId29" Type="http://schemas.openxmlformats.org/officeDocument/2006/relationships/hyperlink" Target="https://www.ifbappliances.com/tl-rbr" TargetMode="External"/><Relationship Id="rId41" Type="http://schemas.openxmlformats.org/officeDocument/2006/relationships/hyperlink" Target="https://www.ifbappliances.com/tl-ress-7-kg-aqua" TargetMode="External"/><Relationship Id="rId1" Type="http://schemas.openxmlformats.org/officeDocument/2006/relationships/hyperlink" Target="https://www.ifbappliances.com/tl-sibs-10kg" TargetMode="External"/><Relationship Id="rId6" Type="http://schemas.openxmlformats.org/officeDocument/2006/relationships/hyperlink" Target="https://www.ifbappliances.com/tl-regs-7kg" TargetMode="External"/><Relationship Id="rId11" Type="http://schemas.openxmlformats.org/officeDocument/2006/relationships/hyperlink" Target="https://www.ifbappliances.com/tl-r3sg-8-kg-aqua" TargetMode="External"/><Relationship Id="rId24" Type="http://schemas.openxmlformats.org/officeDocument/2006/relationships/hyperlink" Target="https://www.ifbappliances.com/tl-s4sts-9-kg-aqua" TargetMode="External"/><Relationship Id="rId32" Type="http://schemas.openxmlformats.org/officeDocument/2006/relationships/hyperlink" Target="https://www.ifbappliances.com/tl-sds-7kg-aqua-720-rpm" TargetMode="External"/><Relationship Id="rId37" Type="http://schemas.openxmlformats.org/officeDocument/2006/relationships/hyperlink" Target="https://www.ifbappliances.com/tl-ssbl-9-kg" TargetMode="External"/><Relationship Id="rId40" Type="http://schemas.openxmlformats.org/officeDocument/2006/relationships/hyperlink" Target="https://www.ifbappliances.com/tl-sdsh-8-kg-aqua" TargetMode="External"/><Relationship Id="rId5" Type="http://schemas.openxmlformats.org/officeDocument/2006/relationships/hyperlink" Target="https://www.ifbappliances.com/tl-rpss-7-kg-aqua" TargetMode="External"/><Relationship Id="rId15" Type="http://schemas.openxmlformats.org/officeDocument/2006/relationships/hyperlink" Target="https://www.ifbappliances.com/tl-reg-6-5kg-aqua-720-rpm" TargetMode="External"/><Relationship Id="rId23" Type="http://schemas.openxmlformats.org/officeDocument/2006/relationships/hyperlink" Target="https://www.ifbappliances.com/tl-r1wrs-7-kg-aqua" TargetMode="External"/><Relationship Id="rId28" Type="http://schemas.openxmlformats.org/officeDocument/2006/relationships/hyperlink" Target="https://www.ifbappliances.com/tl-regs" TargetMode="External"/><Relationship Id="rId36" Type="http://schemas.openxmlformats.org/officeDocument/2006/relationships/hyperlink" Target="https://www.ifbappliances.com/tl-s4ins-12-kg-aqua" TargetMode="External"/><Relationship Id="rId10" Type="http://schemas.openxmlformats.org/officeDocument/2006/relationships/hyperlink" Target="https://www.ifbappliances.com/tl-r2wrs-6-5-kg-aqua" TargetMode="External"/><Relationship Id="rId19" Type="http://schemas.openxmlformats.org/officeDocument/2006/relationships/hyperlink" Target="https://www.ifbappliances.com/tl-r2br-7-kg-aqua" TargetMode="External"/><Relationship Id="rId31" Type="http://schemas.openxmlformats.org/officeDocument/2006/relationships/hyperlink" Target="https://www.ifbappliances.com/tl-r1wh-7-0-kg-aqua" TargetMode="External"/><Relationship Id="rId44" Type="http://schemas.openxmlformats.org/officeDocument/2006/relationships/hyperlink" Target="https://www.ifbappliances.com/tl-r2brs-8-kg-aqua" TargetMode="External"/><Relationship Id="rId4" Type="http://schemas.openxmlformats.org/officeDocument/2006/relationships/hyperlink" Target="https://www.ifbappliances.com/tl-sbrs-8-kg-aqua" TargetMode="External"/><Relationship Id="rId9" Type="http://schemas.openxmlformats.org/officeDocument/2006/relationships/hyperlink" Target="https://www.ifbappliances.com/tl-res" TargetMode="External"/><Relationship Id="rId14" Type="http://schemas.openxmlformats.org/officeDocument/2006/relationships/hyperlink" Target="https://www.ifbappliances.com/tl-reg-7-kg-aqua" TargetMode="External"/><Relationship Id="rId22" Type="http://schemas.openxmlformats.org/officeDocument/2006/relationships/hyperlink" Target="https://www.ifbappliances.com/tl-rss-6-5kg-aqua-720-rpm" TargetMode="External"/><Relationship Id="rId27" Type="http://schemas.openxmlformats.org/officeDocument/2006/relationships/hyperlink" Target="https://www.ifbappliances.com/tl-sbrh-8-0-kg-aqua-l-720-rpm" TargetMode="External"/><Relationship Id="rId30" Type="http://schemas.openxmlformats.org/officeDocument/2006/relationships/hyperlink" Target="https://www.ifbappliances.com/tl-s4rbs-10-kg-aqua" TargetMode="External"/><Relationship Id="rId35" Type="http://schemas.openxmlformats.org/officeDocument/2006/relationships/hyperlink" Target="https://www.ifbappliances.com/tl-sdss-8-kg-aqua" TargetMode="External"/><Relationship Id="rId43" Type="http://schemas.openxmlformats.org/officeDocument/2006/relationships/hyperlink" Target="https://www.ifbappliances.com/tl-r1wrs-6-5-kg-aqua" TargetMode="External"/><Relationship Id="rId8" Type="http://schemas.openxmlformats.org/officeDocument/2006/relationships/hyperlink" Target="https://www.ifbappliances.com/tl-rpss-6-5-kg-aqua" TargetMode="External"/><Relationship Id="rId3" Type="http://schemas.openxmlformats.org/officeDocument/2006/relationships/hyperlink" Target="https://www.ifbappliances.com/tl-spls-8-kg-aqua" TargetMode="External"/><Relationship Id="rId12" Type="http://schemas.openxmlformats.org/officeDocument/2006/relationships/hyperlink" Target="https://www.ifbappliances.com/tl-res-7-kg-aqua" TargetMode="External"/><Relationship Id="rId17" Type="http://schemas.openxmlformats.org/officeDocument/2006/relationships/hyperlink" Target="https://www.ifbappliances.com/tl-s4bls-10-kg-aqua" TargetMode="External"/><Relationship Id="rId25" Type="http://schemas.openxmlformats.org/officeDocument/2006/relationships/hyperlink" Target="https://www.ifbappliances.com/tl-rews" TargetMode="External"/><Relationship Id="rId33" Type="http://schemas.openxmlformats.org/officeDocument/2006/relationships/hyperlink" Target="https://www.ifbappliances.com/tl-sibs-11kg" TargetMode="External"/><Relationship Id="rId38" Type="http://schemas.openxmlformats.org/officeDocument/2006/relationships/hyperlink" Target="https://www.ifbappliances.com/tl-s4rbs-12-kg-aqu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fbappliances.com/turbo-dry-lx" TargetMode="External"/><Relationship Id="rId2" Type="http://schemas.openxmlformats.org/officeDocument/2006/relationships/hyperlink" Target="https://www.ifbappliances.com/turbo-dry-mx" TargetMode="External"/><Relationship Id="rId1" Type="http://schemas.openxmlformats.org/officeDocument/2006/relationships/hyperlink" Target="https://www.ifbappliances.com/turbodry-550-5-5kg-l-55rpm" TargetMode="External"/><Relationship Id="rId5" Type="http://schemas.openxmlformats.org/officeDocument/2006/relationships/hyperlink" Target="https://www.ifbappliances.com/turbodry-ex-5-5kg-l-55rpm" TargetMode="External"/><Relationship Id="rId4" Type="http://schemas.openxmlformats.org/officeDocument/2006/relationships/hyperlink" Target="https://www.ifbappliances.com/turbo-dry-r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fbappliances.com/30brc2" TargetMode="External"/><Relationship Id="rId13" Type="http://schemas.openxmlformats.org/officeDocument/2006/relationships/hyperlink" Target="https://www.ifbappliances.com/25bc4" TargetMode="External"/><Relationship Id="rId18" Type="http://schemas.openxmlformats.org/officeDocument/2006/relationships/hyperlink" Target="https://www.ifbappliances.com/23bc5" TargetMode="External"/><Relationship Id="rId3" Type="http://schemas.openxmlformats.org/officeDocument/2006/relationships/hyperlink" Target="https://www.ifbappliances.com/24pm2b" TargetMode="External"/><Relationship Id="rId21" Type="http://schemas.openxmlformats.org/officeDocument/2006/relationships/hyperlink" Target="https://www.ifbappliances.com/21sc5" TargetMode="External"/><Relationship Id="rId7" Type="http://schemas.openxmlformats.org/officeDocument/2006/relationships/hyperlink" Target="https://www.ifbappliances.com/25bc3" TargetMode="External"/><Relationship Id="rId12" Type="http://schemas.openxmlformats.org/officeDocument/2006/relationships/hyperlink" Target="https://www.ifbappliances.com/20bc4" TargetMode="External"/><Relationship Id="rId17" Type="http://schemas.openxmlformats.org/officeDocument/2006/relationships/hyperlink" Target="https://www.ifbappliances.com/20bc5" TargetMode="External"/><Relationship Id="rId2" Type="http://schemas.openxmlformats.org/officeDocument/2006/relationships/hyperlink" Target="https://www.ifbappliances.com/25pm2s-25ltrs-l-solo" TargetMode="External"/><Relationship Id="rId16" Type="http://schemas.openxmlformats.org/officeDocument/2006/relationships/hyperlink" Target="https://www.ifbappliances.com/30sc4" TargetMode="External"/><Relationship Id="rId20" Type="http://schemas.openxmlformats.org/officeDocument/2006/relationships/hyperlink" Target="https://www.ifbappliances.com/25dgbc2-25-ltrs" TargetMode="External"/><Relationship Id="rId1" Type="http://schemas.openxmlformats.org/officeDocument/2006/relationships/hyperlink" Target="https://www.ifbappliances.com/20pm-mec2b" TargetMode="External"/><Relationship Id="rId6" Type="http://schemas.openxmlformats.org/officeDocument/2006/relationships/hyperlink" Target="https://www.ifbappliances.com/23sc3" TargetMode="External"/><Relationship Id="rId11" Type="http://schemas.openxmlformats.org/officeDocument/2006/relationships/hyperlink" Target="https://www.ifbappliances.com/30frc2" TargetMode="External"/><Relationship Id="rId5" Type="http://schemas.openxmlformats.org/officeDocument/2006/relationships/hyperlink" Target="https://www.ifbappliances.com/20pg4s" TargetMode="External"/><Relationship Id="rId15" Type="http://schemas.openxmlformats.org/officeDocument/2006/relationships/hyperlink" Target="https://www.ifbappliances.com/30brc3" TargetMode="External"/><Relationship Id="rId10" Type="http://schemas.openxmlformats.org/officeDocument/2006/relationships/hyperlink" Target="https://www.ifbappliances.com/25sc4-163" TargetMode="External"/><Relationship Id="rId19" Type="http://schemas.openxmlformats.org/officeDocument/2006/relationships/hyperlink" Target="https://www.ifbappliances.com/30bc5-30-ltrs-l-convection" TargetMode="External"/><Relationship Id="rId4" Type="http://schemas.openxmlformats.org/officeDocument/2006/relationships/hyperlink" Target="https://www.ifbappliances.com/20pm-mec2" TargetMode="External"/><Relationship Id="rId9" Type="http://schemas.openxmlformats.org/officeDocument/2006/relationships/hyperlink" Target="https://www.ifbappliances.com/23bc4" TargetMode="External"/><Relationship Id="rId14" Type="http://schemas.openxmlformats.org/officeDocument/2006/relationships/hyperlink" Target="https://www.ifbappliances.com/28bc5" TargetMode="External"/><Relationship Id="rId22" Type="http://schemas.openxmlformats.org/officeDocument/2006/relationships/hyperlink" Target="https://www.ifbappliances.com/20sc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fbappliances.com/neptune-sx2" TargetMode="External"/><Relationship Id="rId2" Type="http://schemas.openxmlformats.org/officeDocument/2006/relationships/hyperlink" Target="https://www.ifbappliances.com/neptune-vx2-plus" TargetMode="External"/><Relationship Id="rId1" Type="http://schemas.openxmlformats.org/officeDocument/2006/relationships/hyperlink" Target="https://www.ifbappliances.com/neptune-vx16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fbappliances.com/neptune-bi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fbappliances.com/ivs-1605-wmt" TargetMode="External"/><Relationship Id="rId13" Type="http://schemas.openxmlformats.org/officeDocument/2006/relationships/hyperlink" Target="https://www.ifbappliances.com/ivs-510050-ml-1" TargetMode="External"/><Relationship Id="rId18" Type="http://schemas.openxmlformats.org/officeDocument/2006/relationships/hyperlink" Target="https://www.ifbappliances.com/ivs1705a" TargetMode="External"/><Relationship Id="rId3" Type="http://schemas.openxmlformats.org/officeDocument/2006/relationships/hyperlink" Target="https://www.ifbappliances.com/ivs-10005-r" TargetMode="External"/><Relationship Id="rId21" Type="http://schemas.openxmlformats.org/officeDocument/2006/relationships/hyperlink" Target="https://www.ifbappliances.com/ivs1454a" TargetMode="External"/><Relationship Id="rId7" Type="http://schemas.openxmlformats.org/officeDocument/2006/relationships/hyperlink" Target="https://www.ifbappliances.com/ivs-1405-wmt" TargetMode="External"/><Relationship Id="rId12" Type="http://schemas.openxmlformats.org/officeDocument/2006/relationships/hyperlink" Target="https://www.ifbappliances.com/ivs-405-sla" TargetMode="External"/><Relationship Id="rId17" Type="http://schemas.openxmlformats.org/officeDocument/2006/relationships/hyperlink" Target="https://www.ifbappliances.com/ivs1455a" TargetMode="External"/><Relationship Id="rId2" Type="http://schemas.openxmlformats.org/officeDocument/2006/relationships/hyperlink" Target="https://www.ifbappliances.com/ivs-9505-lr" TargetMode="External"/><Relationship Id="rId16" Type="http://schemas.openxmlformats.org/officeDocument/2006/relationships/hyperlink" Target="https://www.ifbappliances.com/ivs955a" TargetMode="External"/><Relationship Id="rId20" Type="http://schemas.openxmlformats.org/officeDocument/2006/relationships/hyperlink" Target="https://www.ifbappliances.com/ivs954a" TargetMode="External"/><Relationship Id="rId1" Type="http://schemas.openxmlformats.org/officeDocument/2006/relationships/hyperlink" Target="https://www.ifbappliances.com/ivs-7005-lr" TargetMode="External"/><Relationship Id="rId6" Type="http://schemas.openxmlformats.org/officeDocument/2006/relationships/hyperlink" Target="https://www.ifbappliances.com/ivs-1705-wmt" TargetMode="External"/><Relationship Id="rId11" Type="http://schemas.openxmlformats.org/officeDocument/2006/relationships/hyperlink" Target="https://www.ifbappliances.com/ivs-405-dla" TargetMode="External"/><Relationship Id="rId5" Type="http://schemas.openxmlformats.org/officeDocument/2006/relationships/hyperlink" Target="https://www.ifbappliances.com/ivs-1455-wmt" TargetMode="External"/><Relationship Id="rId15" Type="http://schemas.openxmlformats.org/officeDocument/2006/relationships/hyperlink" Target="https://www.ifbappliances.com/ivs-510050-ml" TargetMode="External"/><Relationship Id="rId23" Type="http://schemas.openxmlformats.org/officeDocument/2006/relationships/hyperlink" Target="https://www.ifbappliances.com/ivs1804a" TargetMode="External"/><Relationship Id="rId10" Type="http://schemas.openxmlformats.org/officeDocument/2006/relationships/hyperlink" Target="https://www.ifbappliances.com/ivs-410-la" TargetMode="External"/><Relationship Id="rId19" Type="http://schemas.openxmlformats.org/officeDocument/2006/relationships/hyperlink" Target="https://www.ifbappliances.com/ivs1805a" TargetMode="External"/><Relationship Id="rId4" Type="http://schemas.openxmlformats.org/officeDocument/2006/relationships/hyperlink" Target="https://www.ifbappliances.com/ivs-13005-r" TargetMode="External"/><Relationship Id="rId9" Type="http://schemas.openxmlformats.org/officeDocument/2006/relationships/hyperlink" Target="https://www.ifbappliances.com/ivs-515-wmt" TargetMode="External"/><Relationship Id="rId14" Type="http://schemas.openxmlformats.org/officeDocument/2006/relationships/hyperlink" Target="https://www.ifbappliances.com/ivs-1010050-ml" TargetMode="External"/><Relationship Id="rId22" Type="http://schemas.openxmlformats.org/officeDocument/2006/relationships/hyperlink" Target="https://www.ifbappliances.com/ivs1704a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fbappliances.com/ci1332a113gn1" TargetMode="External"/><Relationship Id="rId13" Type="http://schemas.openxmlformats.org/officeDocument/2006/relationships/hyperlink" Target="https://www.ifbappliances.com/ci1453f213gn1" TargetMode="External"/><Relationship Id="rId18" Type="http://schemas.openxmlformats.org/officeDocument/2006/relationships/hyperlink" Target="https://www.ifbappliances.com/ci2053f323gn1" TargetMode="External"/><Relationship Id="rId26" Type="http://schemas.openxmlformats.org/officeDocument/2006/relationships/hyperlink" Target="https://www.ifbappliances.com/ci1332d113gn1" TargetMode="External"/><Relationship Id="rId3" Type="http://schemas.openxmlformats.org/officeDocument/2006/relationships/hyperlink" Target="https://www.ifbappliances.com/ci1852d223gn1" TargetMode="External"/><Relationship Id="rId21" Type="http://schemas.openxmlformats.org/officeDocument/2006/relationships/hyperlink" Target="https://www.ifbappliances.com/ci1833a223gm1" TargetMode="External"/><Relationship Id="rId7" Type="http://schemas.openxmlformats.org/officeDocument/2006/relationships/hyperlink" Target="https://www.ifbappliances.com/ci2431g323g3" TargetMode="External"/><Relationship Id="rId12" Type="http://schemas.openxmlformats.org/officeDocument/2006/relationships/hyperlink" Target="https://www.ifbappliances.com/ci2433f323g4" TargetMode="External"/><Relationship Id="rId17" Type="http://schemas.openxmlformats.org/officeDocument/2006/relationships/hyperlink" Target="https://www.ifbappliances.com/ci2051g323gn1" TargetMode="External"/><Relationship Id="rId25" Type="http://schemas.openxmlformats.org/officeDocument/2006/relationships/hyperlink" Target="https://www.ifbappliances.com/ci1333a113gn1" TargetMode="External"/><Relationship Id="rId2" Type="http://schemas.openxmlformats.org/officeDocument/2006/relationships/hyperlink" Target="https://www.ifbappliances.com/ci2433a323g3" TargetMode="External"/><Relationship Id="rId16" Type="http://schemas.openxmlformats.org/officeDocument/2006/relationships/hyperlink" Target="https://www.ifbappliances.com/ci2053a323gn1" TargetMode="External"/><Relationship Id="rId20" Type="http://schemas.openxmlformats.org/officeDocument/2006/relationships/hyperlink" Target="https://www.ifbappliances.com/ci1832a223gn1" TargetMode="External"/><Relationship Id="rId29" Type="http://schemas.openxmlformats.org/officeDocument/2006/relationships/hyperlink" Target="https://www.ifbappliances.com/c12432a323g4" TargetMode="External"/><Relationship Id="rId1" Type="http://schemas.openxmlformats.org/officeDocument/2006/relationships/hyperlink" Target="https://www.ifbappliances.com/ci1832a223gm1" TargetMode="External"/><Relationship Id="rId6" Type="http://schemas.openxmlformats.org/officeDocument/2006/relationships/hyperlink" Target="https://www.ifbappliances.com/ci2432d323g3" TargetMode="External"/><Relationship Id="rId11" Type="http://schemas.openxmlformats.org/officeDocument/2006/relationships/hyperlink" Target="https://www.ifbappliances.com/ci2431g323g4" TargetMode="External"/><Relationship Id="rId24" Type="http://schemas.openxmlformats.org/officeDocument/2006/relationships/hyperlink" Target="https://www.ifbappliances.com/ci1833f223gm1" TargetMode="External"/><Relationship Id="rId5" Type="http://schemas.openxmlformats.org/officeDocument/2006/relationships/hyperlink" Target="https://www.ifbappliances.com/ci1853e223gn1" TargetMode="External"/><Relationship Id="rId15" Type="http://schemas.openxmlformats.org/officeDocument/2006/relationships/hyperlink" Target="https://www.ifbappliances.com/ci2052a323gn1" TargetMode="External"/><Relationship Id="rId23" Type="http://schemas.openxmlformats.org/officeDocument/2006/relationships/hyperlink" Target="https://www.ifbappliances.com/ci1831g223gn1" TargetMode="External"/><Relationship Id="rId28" Type="http://schemas.openxmlformats.org/officeDocument/2006/relationships/hyperlink" Target="https://www.ifbappliances.com/iahi24x23g3c" TargetMode="External"/><Relationship Id="rId10" Type="http://schemas.openxmlformats.org/officeDocument/2006/relationships/hyperlink" Target="https://www.ifbappliances.com/ci2432d323g4" TargetMode="External"/><Relationship Id="rId19" Type="http://schemas.openxmlformats.org/officeDocument/2006/relationships/hyperlink" Target="https://www.ifbappliances.com/ci1852a223gn1" TargetMode="External"/><Relationship Id="rId31" Type="http://schemas.openxmlformats.org/officeDocument/2006/relationships/hyperlink" Target="https://www.ifbappliances.com/ci1451g213gn1" TargetMode="External"/><Relationship Id="rId4" Type="http://schemas.openxmlformats.org/officeDocument/2006/relationships/hyperlink" Target="https://www.ifbappliances.com/ci1831g223gm1" TargetMode="External"/><Relationship Id="rId9" Type="http://schemas.openxmlformats.org/officeDocument/2006/relationships/hyperlink" Target="https://www.ifbappliances.com/ci2433a323g4" TargetMode="External"/><Relationship Id="rId14" Type="http://schemas.openxmlformats.org/officeDocument/2006/relationships/hyperlink" Target="https://www.ifbappliances.com/hi1831g223gm1" TargetMode="External"/><Relationship Id="rId22" Type="http://schemas.openxmlformats.org/officeDocument/2006/relationships/hyperlink" Target="https://www.ifbappliances.com/ci1832d223gn1" TargetMode="External"/><Relationship Id="rId27" Type="http://schemas.openxmlformats.org/officeDocument/2006/relationships/hyperlink" Target="https://www.ifbappliances.com/ci1333e113gn1" TargetMode="External"/><Relationship Id="rId30" Type="http://schemas.openxmlformats.org/officeDocument/2006/relationships/hyperlink" Target="https://www.ifbappliances.com/ci1833e223gn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fbappliances.com/executive-zxv" TargetMode="External"/><Relationship Id="rId2" Type="http://schemas.openxmlformats.org/officeDocument/2006/relationships/hyperlink" Target="https://www.ifbappliances.com/executive-zxb" TargetMode="External"/><Relationship Id="rId1" Type="http://schemas.openxmlformats.org/officeDocument/2006/relationships/hyperlink" Target="https://www.ifbappliances.com/executive-zxs-8-5-6-5-2-5-1400rpm" TargetMode="External"/><Relationship Id="rId4" Type="http://schemas.openxmlformats.org/officeDocument/2006/relationships/hyperlink" Target="https://www.ifbappliances.com/executive-zxm-8-5-6-5-2-5-1400rp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fbappliances.com/ifbdc-2233ffg" TargetMode="External"/><Relationship Id="rId18" Type="http://schemas.openxmlformats.org/officeDocument/2006/relationships/hyperlink" Target="https://www.ifbappliances.com/ifbdc-2483fbs" TargetMode="External"/><Relationship Id="rId26" Type="http://schemas.openxmlformats.org/officeDocument/2006/relationships/hyperlink" Target="https://www.ifbappliances.com/ifbdc-2132fbf" TargetMode="External"/><Relationship Id="rId39" Type="http://schemas.openxmlformats.org/officeDocument/2006/relationships/hyperlink" Target="https://www.ifbappliances.com/ifbdc-2483frh" TargetMode="External"/><Relationship Id="rId21" Type="http://schemas.openxmlformats.org/officeDocument/2006/relationships/hyperlink" Target="https://www.ifbappliances.com/ifbdc-2235iks" TargetMode="External"/><Relationship Id="rId34" Type="http://schemas.openxmlformats.org/officeDocument/2006/relationships/hyperlink" Target="https://www.ifbappliances.com/ifbdc-2131fbf" TargetMode="External"/><Relationship Id="rId42" Type="http://schemas.openxmlformats.org/officeDocument/2006/relationships/hyperlink" Target="https://www.ifbappliances.com/ifbdc-2324igs" TargetMode="External"/><Relationship Id="rId47" Type="http://schemas.openxmlformats.org/officeDocument/2006/relationships/hyperlink" Target="https://www.ifbappliances.com/ifbdc-2774irv" TargetMode="External"/><Relationship Id="rId7" Type="http://schemas.openxmlformats.org/officeDocument/2006/relationships/hyperlink" Target="https://www.ifbappliances.com/ifbdc-2233fkg" TargetMode="External"/><Relationship Id="rId2" Type="http://schemas.openxmlformats.org/officeDocument/2006/relationships/hyperlink" Target="https://www.ifbappliances.com/ifbdc-2235irp" TargetMode="External"/><Relationship Id="rId16" Type="http://schemas.openxmlformats.org/officeDocument/2006/relationships/hyperlink" Target="https://www.ifbappliances.com/ifbdc-2133flg" TargetMode="External"/><Relationship Id="rId29" Type="http://schemas.openxmlformats.org/officeDocument/2006/relationships/hyperlink" Target="https://www.ifbappliances.com/ifbdc-2233fbb" TargetMode="External"/><Relationship Id="rId1" Type="http://schemas.openxmlformats.org/officeDocument/2006/relationships/hyperlink" Target="https://www.ifbappliances.com/ifbdc-2235ibb" TargetMode="External"/><Relationship Id="rId6" Type="http://schemas.openxmlformats.org/officeDocument/2006/relationships/hyperlink" Target="https://www.ifbappliances.com/ifbdc-2132fkg" TargetMode="External"/><Relationship Id="rId11" Type="http://schemas.openxmlformats.org/officeDocument/2006/relationships/hyperlink" Target="https://www.ifbappliances.com/ifbdc-2324irg" TargetMode="External"/><Relationship Id="rId24" Type="http://schemas.openxmlformats.org/officeDocument/2006/relationships/hyperlink" Target="https://www.ifbappliances.com/ifbdc-2132fss" TargetMode="External"/><Relationship Id="rId32" Type="http://schemas.openxmlformats.org/officeDocument/2006/relationships/hyperlink" Target="https://www.ifbappliances.com/ifbdc-2231fss" TargetMode="External"/><Relationship Id="rId37" Type="http://schemas.openxmlformats.org/officeDocument/2006/relationships/hyperlink" Target="https://www.ifbappliances.com/ifbdc-2133frh" TargetMode="External"/><Relationship Id="rId40" Type="http://schemas.openxmlformats.org/officeDocument/2006/relationships/hyperlink" Target="https://www.ifbappliances.com/ifbdc-2483fbh" TargetMode="External"/><Relationship Id="rId45" Type="http://schemas.openxmlformats.org/officeDocument/2006/relationships/hyperlink" Target="https://www.ifbappliances.com/ifbdc-2324irv" TargetMode="External"/><Relationship Id="rId5" Type="http://schemas.openxmlformats.org/officeDocument/2006/relationships/hyperlink" Target="https://www.ifbappliances.com/ifbdc-2325ibp" TargetMode="External"/><Relationship Id="rId15" Type="http://schemas.openxmlformats.org/officeDocument/2006/relationships/hyperlink" Target="https://www.ifbappliances.com/ifbdc-2133ffg" TargetMode="External"/><Relationship Id="rId23" Type="http://schemas.openxmlformats.org/officeDocument/2006/relationships/hyperlink" Target="https://www.ifbappliances.com/ifbdc-2132fcs" TargetMode="External"/><Relationship Id="rId28" Type="http://schemas.openxmlformats.org/officeDocument/2006/relationships/hyperlink" Target="https://www.ifbappliances.com/ifbdc-2322fbs" TargetMode="External"/><Relationship Id="rId36" Type="http://schemas.openxmlformats.org/officeDocument/2006/relationships/hyperlink" Target="https://www.ifbappliances.com/ifbdc-2233fbs" TargetMode="External"/><Relationship Id="rId10" Type="http://schemas.openxmlformats.org/officeDocument/2006/relationships/hyperlink" Target="https://www.ifbappliances.com/ifbdc-2325ilg" TargetMode="External"/><Relationship Id="rId19" Type="http://schemas.openxmlformats.org/officeDocument/2006/relationships/hyperlink" Target="https://www.ifbappliances.com/ifbdc-2324iksu" TargetMode="External"/><Relationship Id="rId31" Type="http://schemas.openxmlformats.org/officeDocument/2006/relationships/hyperlink" Target="https://www.ifbappliances.com/ifbdc-2325igs" TargetMode="External"/><Relationship Id="rId44" Type="http://schemas.openxmlformats.org/officeDocument/2006/relationships/hyperlink" Target="https://www.ifbappliances.com/ifbdc-2774igs" TargetMode="External"/><Relationship Id="rId4" Type="http://schemas.openxmlformats.org/officeDocument/2006/relationships/hyperlink" Target="https://www.ifbappliances.com/ifbdc-2325irp" TargetMode="External"/><Relationship Id="rId9" Type="http://schemas.openxmlformats.org/officeDocument/2006/relationships/hyperlink" Target="https://www.ifbappliances.com/ifbdc-2324ikg" TargetMode="External"/><Relationship Id="rId14" Type="http://schemas.openxmlformats.org/officeDocument/2006/relationships/hyperlink" Target="https://www.ifbappliances.com/ifbdc-2233flg" TargetMode="External"/><Relationship Id="rId22" Type="http://schemas.openxmlformats.org/officeDocument/2006/relationships/hyperlink" Target="https://www.ifbappliances.com/ifbdc-2325irb" TargetMode="External"/><Relationship Id="rId27" Type="http://schemas.openxmlformats.org/officeDocument/2006/relationships/hyperlink" Target="https://www.ifbappliances.com/ifbdc-2132frf" TargetMode="External"/><Relationship Id="rId30" Type="http://schemas.openxmlformats.org/officeDocument/2006/relationships/hyperlink" Target="https://www.ifbappliances.com/ifbdc-2232fas" TargetMode="External"/><Relationship Id="rId35" Type="http://schemas.openxmlformats.org/officeDocument/2006/relationships/hyperlink" Target="https://www.ifbappliances.com/ifbdc-2131fss" TargetMode="External"/><Relationship Id="rId43" Type="http://schemas.openxmlformats.org/officeDocument/2006/relationships/hyperlink" Target="https://www.ifbappliances.com/ifbdc-2324iks" TargetMode="External"/><Relationship Id="rId48" Type="http://schemas.openxmlformats.org/officeDocument/2006/relationships/hyperlink" Target="https://www.ifbappliances.com/ifbdc-2133fbs" TargetMode="External"/><Relationship Id="rId8" Type="http://schemas.openxmlformats.org/officeDocument/2006/relationships/hyperlink" Target="https://www.ifbappliances.com/ifbdc-2235ikg" TargetMode="External"/><Relationship Id="rId3" Type="http://schemas.openxmlformats.org/officeDocument/2006/relationships/hyperlink" Target="https://www.ifbappliances.com/ifbdc-2235ibp" TargetMode="External"/><Relationship Id="rId12" Type="http://schemas.openxmlformats.org/officeDocument/2006/relationships/hyperlink" Target="https://www.ifbappliances.com/ifbdc-2235irg" TargetMode="External"/><Relationship Id="rId17" Type="http://schemas.openxmlformats.org/officeDocument/2006/relationships/hyperlink" Target="https://www.ifbappliances.com/ifbdc-2132flg" TargetMode="External"/><Relationship Id="rId25" Type="http://schemas.openxmlformats.org/officeDocument/2006/relationships/hyperlink" Target="https://www.ifbappliances.com/ifbdc-2232fss" TargetMode="External"/><Relationship Id="rId33" Type="http://schemas.openxmlformats.org/officeDocument/2006/relationships/hyperlink" Target="https://www.ifbappliances.com/ifbdc-2131frf" TargetMode="External"/><Relationship Id="rId38" Type="http://schemas.openxmlformats.org/officeDocument/2006/relationships/hyperlink" Target="https://www.ifbappliances.com/ifbdc-2133fbh" TargetMode="External"/><Relationship Id="rId46" Type="http://schemas.openxmlformats.org/officeDocument/2006/relationships/hyperlink" Target="https://www.ifbappliances.com/ifbdc-2324ibv" TargetMode="External"/><Relationship Id="rId20" Type="http://schemas.openxmlformats.org/officeDocument/2006/relationships/hyperlink" Target="https://www.ifbappliances.com/ifbdc-2235irb" TargetMode="External"/><Relationship Id="rId41" Type="http://schemas.openxmlformats.org/officeDocument/2006/relationships/hyperlink" Target="https://www.ifbappliances.com/ifbdc-2233frb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fbappliances.com/ifbff-3152isg" TargetMode="External"/><Relationship Id="rId13" Type="http://schemas.openxmlformats.org/officeDocument/2006/relationships/hyperlink" Target="https://www.ifbappliances.com/ifbff-3153igsu" TargetMode="External"/><Relationship Id="rId18" Type="http://schemas.openxmlformats.org/officeDocument/2006/relationships/hyperlink" Target="https://www.ifbappliances.com/ifbff-2902fbb" TargetMode="External"/><Relationship Id="rId3" Type="http://schemas.openxmlformats.org/officeDocument/2006/relationships/hyperlink" Target="https://www.ifbappliances.com/ifbff-2902isg" TargetMode="External"/><Relationship Id="rId21" Type="http://schemas.openxmlformats.org/officeDocument/2006/relationships/hyperlink" Target="https://www.ifbappliances.com/ifbff-2902igs" TargetMode="External"/><Relationship Id="rId7" Type="http://schemas.openxmlformats.org/officeDocument/2006/relationships/hyperlink" Target="https://www.ifbappliances.com/ifbff-3362isg" TargetMode="External"/><Relationship Id="rId12" Type="http://schemas.openxmlformats.org/officeDocument/2006/relationships/hyperlink" Target="https://www.ifbappliances.com/ifbff-3363imsu" TargetMode="External"/><Relationship Id="rId17" Type="http://schemas.openxmlformats.org/officeDocument/2006/relationships/hyperlink" Target="https://www.ifbappliances.com/ifbff-2911fks" TargetMode="External"/><Relationship Id="rId2" Type="http://schemas.openxmlformats.org/officeDocument/2006/relationships/hyperlink" Target="https://www.ifbappliances.com/ifbff-3362ikg" TargetMode="External"/><Relationship Id="rId16" Type="http://schemas.openxmlformats.org/officeDocument/2006/relationships/hyperlink" Target="https://www.ifbappliances.com/ifbff-2902fks" TargetMode="External"/><Relationship Id="rId20" Type="http://schemas.openxmlformats.org/officeDocument/2006/relationships/hyperlink" Target="https://www.ifbappliances.com/ifbff-2902frb" TargetMode="External"/><Relationship Id="rId1" Type="http://schemas.openxmlformats.org/officeDocument/2006/relationships/hyperlink" Target="https://www.ifbappliances.com/ifbff-2902fkg" TargetMode="External"/><Relationship Id="rId6" Type="http://schemas.openxmlformats.org/officeDocument/2006/relationships/hyperlink" Target="https://www.ifbappliances.com/ifbff-2913ibsu" TargetMode="External"/><Relationship Id="rId11" Type="http://schemas.openxmlformats.org/officeDocument/2006/relationships/hyperlink" Target="https://www.ifbappliances.com/ifbff-2902fsg" TargetMode="External"/><Relationship Id="rId5" Type="http://schemas.openxmlformats.org/officeDocument/2006/relationships/hyperlink" Target="https://www.ifbappliances.com/ifbff-3363igsu" TargetMode="External"/><Relationship Id="rId15" Type="http://schemas.openxmlformats.org/officeDocument/2006/relationships/hyperlink" Target="https://www.ifbappliances.com/ifbff-2902fbs" TargetMode="External"/><Relationship Id="rId23" Type="http://schemas.openxmlformats.org/officeDocument/2006/relationships/hyperlink" Target="https://www.ifbappliances.com/ifbff-3362ibs" TargetMode="External"/><Relationship Id="rId10" Type="http://schemas.openxmlformats.org/officeDocument/2006/relationships/hyperlink" Target="https://www.ifbappliances.com/ifbff-2902irg" TargetMode="External"/><Relationship Id="rId19" Type="http://schemas.openxmlformats.org/officeDocument/2006/relationships/hyperlink" Target="https://www.ifbappliances.com/ifbff-3152fbs" TargetMode="External"/><Relationship Id="rId4" Type="http://schemas.openxmlformats.org/officeDocument/2006/relationships/hyperlink" Target="https://www.ifbappliances.com/ifbff-3362irg" TargetMode="External"/><Relationship Id="rId9" Type="http://schemas.openxmlformats.org/officeDocument/2006/relationships/hyperlink" Target="https://www.ifbappliances.com/ifbff-3152irg" TargetMode="External"/><Relationship Id="rId14" Type="http://schemas.openxmlformats.org/officeDocument/2006/relationships/hyperlink" Target="https://www.ifbappliances.com/ifbff-2911fbs" TargetMode="External"/><Relationship Id="rId22" Type="http://schemas.openxmlformats.org/officeDocument/2006/relationships/hyperlink" Target="https://www.ifbappliances.com/ifbff-3152iks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fbappliances.com/20pm-mec2" TargetMode="External"/><Relationship Id="rId21" Type="http://schemas.openxmlformats.org/officeDocument/2006/relationships/hyperlink" Target="https://www.ifbappliances.com/senator-plus-mxs" TargetMode="External"/><Relationship Id="rId63" Type="http://schemas.openxmlformats.org/officeDocument/2006/relationships/hyperlink" Target="https://www.ifbappliances.com/senator-mbn-8012" TargetMode="External"/><Relationship Id="rId159" Type="http://schemas.openxmlformats.org/officeDocument/2006/relationships/hyperlink" Target="https://www.ifbappliances.com/ivs954a" TargetMode="External"/><Relationship Id="rId170" Type="http://schemas.openxmlformats.org/officeDocument/2006/relationships/hyperlink" Target="https://www.ifbappliances.com/ci1332a113gn1" TargetMode="External"/><Relationship Id="rId226" Type="http://schemas.openxmlformats.org/officeDocument/2006/relationships/hyperlink" Target="https://www.ifbappliances.com/ifbdc-2233fbb" TargetMode="External"/><Relationship Id="rId107" Type="http://schemas.openxmlformats.org/officeDocument/2006/relationships/hyperlink" Target="https://www.ifbappliances.com/tl-r1wrs-6-5-kg-aqua" TargetMode="External"/><Relationship Id="rId268" Type="http://schemas.openxmlformats.org/officeDocument/2006/relationships/hyperlink" Target="https://www.ifbappliances.com/ifbff-3362ibs" TargetMode="External"/><Relationship Id="rId11" Type="http://schemas.openxmlformats.org/officeDocument/2006/relationships/hyperlink" Target="https://www.ifbappliances.com/diva-aqua-vss-7010" TargetMode="External"/><Relationship Id="rId32" Type="http://schemas.openxmlformats.org/officeDocument/2006/relationships/hyperlink" Target="https://www.ifbappliances.com/elite-mxs-7012" TargetMode="External"/><Relationship Id="rId53" Type="http://schemas.openxmlformats.org/officeDocument/2006/relationships/hyperlink" Target="https://www.ifbappliances.com/serena-wxs-7-kg-1200-rpm" TargetMode="External"/><Relationship Id="rId74" Type="http://schemas.openxmlformats.org/officeDocument/2006/relationships/hyperlink" Target="https://www.ifbappliances.com/tl-r2wrs-6-5-kg-aqua" TargetMode="External"/><Relationship Id="rId128" Type="http://schemas.openxmlformats.org/officeDocument/2006/relationships/hyperlink" Target="https://www.ifbappliances.com/30brc3" TargetMode="External"/><Relationship Id="rId149" Type="http://schemas.openxmlformats.org/officeDocument/2006/relationships/hyperlink" Target="https://www.ifbappliances.com/ivs-410-la" TargetMode="External"/><Relationship Id="rId5" Type="http://schemas.openxmlformats.org/officeDocument/2006/relationships/hyperlink" Target="https://www.ifbappliances.com/executive-mxc-9014" TargetMode="External"/><Relationship Id="rId95" Type="http://schemas.openxmlformats.org/officeDocument/2006/relationships/hyperlink" Target="https://www.ifbappliances.com/tl-r1wh-7-0-kg-aqua" TargetMode="External"/><Relationship Id="rId160" Type="http://schemas.openxmlformats.org/officeDocument/2006/relationships/hyperlink" Target="https://www.ifbappliances.com/ivs1454a" TargetMode="External"/><Relationship Id="rId181" Type="http://schemas.openxmlformats.org/officeDocument/2006/relationships/hyperlink" Target="https://www.ifbappliances.com/ci1852a223gn1" TargetMode="External"/><Relationship Id="rId216" Type="http://schemas.openxmlformats.org/officeDocument/2006/relationships/hyperlink" Target="https://www.ifbappliances.com/ifbdc-2324iksu" TargetMode="External"/><Relationship Id="rId237" Type="http://schemas.openxmlformats.org/officeDocument/2006/relationships/hyperlink" Target="https://www.ifbappliances.com/ifbdc-2483fbh" TargetMode="External"/><Relationship Id="rId258" Type="http://schemas.openxmlformats.org/officeDocument/2006/relationships/hyperlink" Target="https://www.ifbappliances.com/ifbff-3153igsu" TargetMode="External"/><Relationship Id="rId22" Type="http://schemas.openxmlformats.org/officeDocument/2006/relationships/hyperlink" Target="https://www.ifbappliances.com/neo-diva-sxs-7010" TargetMode="External"/><Relationship Id="rId43" Type="http://schemas.openxmlformats.org/officeDocument/2006/relationships/hyperlink" Target="https://www.ifbappliances.com/senator-neo-sxs-8012" TargetMode="External"/><Relationship Id="rId64" Type="http://schemas.openxmlformats.org/officeDocument/2006/relationships/hyperlink" Target="https://www.ifbappliances.com/executive-sxn-9014k" TargetMode="External"/><Relationship Id="rId118" Type="http://schemas.openxmlformats.org/officeDocument/2006/relationships/hyperlink" Target="https://www.ifbappliances.com/20pg4s" TargetMode="External"/><Relationship Id="rId139" Type="http://schemas.openxmlformats.org/officeDocument/2006/relationships/hyperlink" Target="https://www.ifbappliances.com/neptune-bi2" TargetMode="External"/><Relationship Id="rId85" Type="http://schemas.openxmlformats.org/officeDocument/2006/relationships/hyperlink" Target="https://www.ifbappliances.com/tl-s1wrs-8-kg-aqua" TargetMode="External"/><Relationship Id="rId150" Type="http://schemas.openxmlformats.org/officeDocument/2006/relationships/hyperlink" Target="https://www.ifbappliances.com/ivs-405-dla" TargetMode="External"/><Relationship Id="rId171" Type="http://schemas.openxmlformats.org/officeDocument/2006/relationships/hyperlink" Target="https://www.ifbappliances.com/ci2433a323g4" TargetMode="External"/><Relationship Id="rId192" Type="http://schemas.openxmlformats.org/officeDocument/2006/relationships/hyperlink" Target="https://www.ifbappliances.com/ci1833e223gn1" TargetMode="External"/><Relationship Id="rId206" Type="http://schemas.openxmlformats.org/officeDocument/2006/relationships/hyperlink" Target="https://www.ifbappliances.com/ifbdc-2324ikg" TargetMode="External"/><Relationship Id="rId227" Type="http://schemas.openxmlformats.org/officeDocument/2006/relationships/hyperlink" Target="https://www.ifbappliances.com/ifbdc-2232fas" TargetMode="External"/><Relationship Id="rId248" Type="http://schemas.openxmlformats.org/officeDocument/2006/relationships/hyperlink" Target="https://www.ifbappliances.com/ifbff-2902isg" TargetMode="External"/><Relationship Id="rId12" Type="http://schemas.openxmlformats.org/officeDocument/2006/relationships/hyperlink" Target="https://www.ifbappliances.com/executive-mss-id" TargetMode="External"/><Relationship Id="rId33" Type="http://schemas.openxmlformats.org/officeDocument/2006/relationships/hyperlink" Target="https://www.ifbappliances.com/senator-vss" TargetMode="External"/><Relationship Id="rId108" Type="http://schemas.openxmlformats.org/officeDocument/2006/relationships/hyperlink" Target="https://www.ifbappliances.com/tl-r2brs-8-kg-aqua" TargetMode="External"/><Relationship Id="rId129" Type="http://schemas.openxmlformats.org/officeDocument/2006/relationships/hyperlink" Target="https://www.ifbappliances.com/30sc4" TargetMode="External"/><Relationship Id="rId54" Type="http://schemas.openxmlformats.org/officeDocument/2006/relationships/hyperlink" Target="https://www.ifbappliances.com/executive-smart-touch-sxs" TargetMode="External"/><Relationship Id="rId75" Type="http://schemas.openxmlformats.org/officeDocument/2006/relationships/hyperlink" Target="https://www.ifbappliances.com/tl-r3sg-8-kg-aqua" TargetMode="External"/><Relationship Id="rId96" Type="http://schemas.openxmlformats.org/officeDocument/2006/relationships/hyperlink" Target="https://www.ifbappliances.com/tl-sds-7kg-aqua-720-rpm" TargetMode="External"/><Relationship Id="rId140" Type="http://schemas.openxmlformats.org/officeDocument/2006/relationships/hyperlink" Target="https://www.ifbappliances.com/ivs-7005-lr" TargetMode="External"/><Relationship Id="rId161" Type="http://schemas.openxmlformats.org/officeDocument/2006/relationships/hyperlink" Target="https://www.ifbappliances.com/ivs1704a" TargetMode="External"/><Relationship Id="rId182" Type="http://schemas.openxmlformats.org/officeDocument/2006/relationships/hyperlink" Target="https://www.ifbappliances.com/ci1832a223gn1" TargetMode="External"/><Relationship Id="rId217" Type="http://schemas.openxmlformats.org/officeDocument/2006/relationships/hyperlink" Target="https://www.ifbappliances.com/ifbdc-2235irb" TargetMode="External"/><Relationship Id="rId6" Type="http://schemas.openxmlformats.org/officeDocument/2006/relationships/hyperlink" Target="https://www.ifbappliances.com/senator-wss-steam-8-kg-1400-rpm" TargetMode="External"/><Relationship Id="rId238" Type="http://schemas.openxmlformats.org/officeDocument/2006/relationships/hyperlink" Target="https://www.ifbappliances.com/ifbdc-2233frb" TargetMode="External"/><Relationship Id="rId259" Type="http://schemas.openxmlformats.org/officeDocument/2006/relationships/hyperlink" Target="https://www.ifbappliances.com/ifbff-2911fbs" TargetMode="External"/><Relationship Id="rId23" Type="http://schemas.openxmlformats.org/officeDocument/2006/relationships/hyperlink" Target="https://www.ifbappliances.com/diva-aqua-bxs" TargetMode="External"/><Relationship Id="rId119" Type="http://schemas.openxmlformats.org/officeDocument/2006/relationships/hyperlink" Target="https://www.ifbappliances.com/23sc3" TargetMode="External"/><Relationship Id="rId44" Type="http://schemas.openxmlformats.org/officeDocument/2006/relationships/hyperlink" Target="https://www.ifbappliances.com/senator-neo-vxs-8012" TargetMode="External"/><Relationship Id="rId65" Type="http://schemas.openxmlformats.org/officeDocument/2006/relationships/hyperlink" Target="https://www.ifbappliances.com/tl-sibs-10kg" TargetMode="External"/><Relationship Id="rId86" Type="http://schemas.openxmlformats.org/officeDocument/2006/relationships/hyperlink" Target="https://www.ifbappliances.com/tl-rss-6-5kg-aqua-720-rpm" TargetMode="External"/><Relationship Id="rId130" Type="http://schemas.openxmlformats.org/officeDocument/2006/relationships/hyperlink" Target="https://www.ifbappliances.com/20bc5" TargetMode="External"/><Relationship Id="rId151" Type="http://schemas.openxmlformats.org/officeDocument/2006/relationships/hyperlink" Target="https://www.ifbappliances.com/ivs-405-sla" TargetMode="External"/><Relationship Id="rId172" Type="http://schemas.openxmlformats.org/officeDocument/2006/relationships/hyperlink" Target="https://www.ifbappliances.com/ci2432d323g4" TargetMode="External"/><Relationship Id="rId193" Type="http://schemas.openxmlformats.org/officeDocument/2006/relationships/hyperlink" Target="https://www.ifbappliances.com/ci1451g213gn1" TargetMode="External"/><Relationship Id="rId207" Type="http://schemas.openxmlformats.org/officeDocument/2006/relationships/hyperlink" Target="https://www.ifbappliances.com/ifbdc-2325ilg" TargetMode="External"/><Relationship Id="rId228" Type="http://schemas.openxmlformats.org/officeDocument/2006/relationships/hyperlink" Target="https://www.ifbappliances.com/ifbdc-2325igs" TargetMode="External"/><Relationship Id="rId249" Type="http://schemas.openxmlformats.org/officeDocument/2006/relationships/hyperlink" Target="https://www.ifbappliances.com/ifbff-3362irg" TargetMode="External"/><Relationship Id="rId13" Type="http://schemas.openxmlformats.org/officeDocument/2006/relationships/hyperlink" Target="https://www.ifbappliances.com/senator-plus-srs" TargetMode="External"/><Relationship Id="rId109" Type="http://schemas.openxmlformats.org/officeDocument/2006/relationships/hyperlink" Target="https://www.ifbappliances.com/turbodry-550-5-5kg-l-55rpm" TargetMode="External"/><Relationship Id="rId260" Type="http://schemas.openxmlformats.org/officeDocument/2006/relationships/hyperlink" Target="https://www.ifbappliances.com/ifbff-2902fbs" TargetMode="External"/><Relationship Id="rId34" Type="http://schemas.openxmlformats.org/officeDocument/2006/relationships/hyperlink" Target="https://www.ifbappliances.com/executive-sxs-9014" TargetMode="External"/><Relationship Id="rId55" Type="http://schemas.openxmlformats.org/officeDocument/2006/relationships/hyperlink" Target="https://www.ifbappliances.com/senator-msn-8014" TargetMode="External"/><Relationship Id="rId76" Type="http://schemas.openxmlformats.org/officeDocument/2006/relationships/hyperlink" Target="https://www.ifbappliances.com/tl-res-7-kg-aqua" TargetMode="External"/><Relationship Id="rId97" Type="http://schemas.openxmlformats.org/officeDocument/2006/relationships/hyperlink" Target="https://www.ifbappliances.com/tl-sibs-11kg" TargetMode="External"/><Relationship Id="rId120" Type="http://schemas.openxmlformats.org/officeDocument/2006/relationships/hyperlink" Target="https://www.ifbappliances.com/25bc3" TargetMode="External"/><Relationship Id="rId141" Type="http://schemas.openxmlformats.org/officeDocument/2006/relationships/hyperlink" Target="https://www.ifbappliances.com/ivs-9505-lr" TargetMode="External"/><Relationship Id="rId7" Type="http://schemas.openxmlformats.org/officeDocument/2006/relationships/hyperlink" Target="https://www.ifbappliances.com/senorita-sxs" TargetMode="External"/><Relationship Id="rId162" Type="http://schemas.openxmlformats.org/officeDocument/2006/relationships/hyperlink" Target="https://www.ifbappliances.com/ivs1804a" TargetMode="External"/><Relationship Id="rId183" Type="http://schemas.openxmlformats.org/officeDocument/2006/relationships/hyperlink" Target="https://www.ifbappliances.com/ci1833a223gm1" TargetMode="External"/><Relationship Id="rId218" Type="http://schemas.openxmlformats.org/officeDocument/2006/relationships/hyperlink" Target="https://www.ifbappliances.com/ifbdc-2235iks" TargetMode="External"/><Relationship Id="rId239" Type="http://schemas.openxmlformats.org/officeDocument/2006/relationships/hyperlink" Target="https://www.ifbappliances.com/ifbdc-2324igs" TargetMode="External"/><Relationship Id="rId250" Type="http://schemas.openxmlformats.org/officeDocument/2006/relationships/hyperlink" Target="https://www.ifbappliances.com/ifbff-3363igsu" TargetMode="External"/><Relationship Id="rId24" Type="http://schemas.openxmlformats.org/officeDocument/2006/relationships/hyperlink" Target="https://www.ifbappliances.com/diva-aqua-sxs-6-kg" TargetMode="External"/><Relationship Id="rId45" Type="http://schemas.openxmlformats.org/officeDocument/2006/relationships/hyperlink" Target="https://www.ifbappliances.com/neo-diva-wss" TargetMode="External"/><Relationship Id="rId66" Type="http://schemas.openxmlformats.org/officeDocument/2006/relationships/hyperlink" Target="https://www.ifbappliances.com/tl-slbs-9-kg-aqua" TargetMode="External"/><Relationship Id="rId87" Type="http://schemas.openxmlformats.org/officeDocument/2006/relationships/hyperlink" Target="https://www.ifbappliances.com/tl-r1wrs-7-kg-aqua" TargetMode="External"/><Relationship Id="rId110" Type="http://schemas.openxmlformats.org/officeDocument/2006/relationships/hyperlink" Target="https://www.ifbappliances.com/turbo-dry-mx" TargetMode="External"/><Relationship Id="rId131" Type="http://schemas.openxmlformats.org/officeDocument/2006/relationships/hyperlink" Target="https://www.ifbappliances.com/23bc5" TargetMode="External"/><Relationship Id="rId152" Type="http://schemas.openxmlformats.org/officeDocument/2006/relationships/hyperlink" Target="https://www.ifbappliances.com/ivs-510050-ml-1" TargetMode="External"/><Relationship Id="rId173" Type="http://schemas.openxmlformats.org/officeDocument/2006/relationships/hyperlink" Target="https://www.ifbappliances.com/ci2431g323g4" TargetMode="External"/><Relationship Id="rId194" Type="http://schemas.openxmlformats.org/officeDocument/2006/relationships/hyperlink" Target="https://www.ifbappliances.com/executive-zxs-8-5-6-5-2-5-1400rpm" TargetMode="External"/><Relationship Id="rId208" Type="http://schemas.openxmlformats.org/officeDocument/2006/relationships/hyperlink" Target="https://www.ifbappliances.com/ifbdc-2324irg" TargetMode="External"/><Relationship Id="rId229" Type="http://schemas.openxmlformats.org/officeDocument/2006/relationships/hyperlink" Target="https://www.ifbappliances.com/ifbdc-2231fss" TargetMode="External"/><Relationship Id="rId240" Type="http://schemas.openxmlformats.org/officeDocument/2006/relationships/hyperlink" Target="https://www.ifbappliances.com/ifbdc-2324iks" TargetMode="External"/><Relationship Id="rId261" Type="http://schemas.openxmlformats.org/officeDocument/2006/relationships/hyperlink" Target="https://www.ifbappliances.com/ifbff-2902fks" TargetMode="External"/><Relationship Id="rId14" Type="http://schemas.openxmlformats.org/officeDocument/2006/relationships/hyperlink" Target="https://www.ifbappliances.com/senator-mxs" TargetMode="External"/><Relationship Id="rId35" Type="http://schemas.openxmlformats.org/officeDocument/2006/relationships/hyperlink" Target="https://www.ifbappliances.com/elite-plus-wss-7-kg" TargetMode="External"/><Relationship Id="rId56" Type="http://schemas.openxmlformats.org/officeDocument/2006/relationships/hyperlink" Target="https://www.ifbappliances.com/diva-aqua-sbs-6008" TargetMode="External"/><Relationship Id="rId77" Type="http://schemas.openxmlformats.org/officeDocument/2006/relationships/hyperlink" Target="https://www.ifbappliances.com/tl-rgs-7kg-aqua-720-rpm" TargetMode="External"/><Relationship Id="rId100" Type="http://schemas.openxmlformats.org/officeDocument/2006/relationships/hyperlink" Target="https://www.ifbappliances.com/tl-s4ins-12-kg-aqua" TargetMode="External"/><Relationship Id="rId8" Type="http://schemas.openxmlformats.org/officeDocument/2006/relationships/hyperlink" Target="https://www.ifbappliances.com/senorita-vxs" TargetMode="External"/><Relationship Id="rId98" Type="http://schemas.openxmlformats.org/officeDocument/2006/relationships/hyperlink" Target="https://www.ifbappliances.com/tl-sdg-6-5kg-aqua-720-rpm" TargetMode="External"/><Relationship Id="rId121" Type="http://schemas.openxmlformats.org/officeDocument/2006/relationships/hyperlink" Target="https://www.ifbappliances.com/30brc2" TargetMode="External"/><Relationship Id="rId142" Type="http://schemas.openxmlformats.org/officeDocument/2006/relationships/hyperlink" Target="https://www.ifbappliances.com/ivs-10005-r" TargetMode="External"/><Relationship Id="rId163" Type="http://schemas.openxmlformats.org/officeDocument/2006/relationships/hyperlink" Target="https://www.ifbappliances.com/ci1832a223gm1" TargetMode="External"/><Relationship Id="rId184" Type="http://schemas.openxmlformats.org/officeDocument/2006/relationships/hyperlink" Target="https://www.ifbappliances.com/ci1832d223gn1" TargetMode="External"/><Relationship Id="rId219" Type="http://schemas.openxmlformats.org/officeDocument/2006/relationships/hyperlink" Target="https://www.ifbappliances.com/ifbdc-2325irb" TargetMode="External"/><Relationship Id="rId230" Type="http://schemas.openxmlformats.org/officeDocument/2006/relationships/hyperlink" Target="https://www.ifbappliances.com/ifbdc-2131frf" TargetMode="External"/><Relationship Id="rId251" Type="http://schemas.openxmlformats.org/officeDocument/2006/relationships/hyperlink" Target="https://www.ifbappliances.com/ifbff-2913ibsu" TargetMode="External"/><Relationship Id="rId25" Type="http://schemas.openxmlformats.org/officeDocument/2006/relationships/hyperlink" Target="https://www.ifbappliances.com/neo-diva-vxs-6010" TargetMode="External"/><Relationship Id="rId46" Type="http://schemas.openxmlformats.org/officeDocument/2006/relationships/hyperlink" Target="https://www.ifbappliances.com/eva-plus-zws" TargetMode="External"/><Relationship Id="rId67" Type="http://schemas.openxmlformats.org/officeDocument/2006/relationships/hyperlink" Target="https://www.ifbappliances.com/tl-spls-8-kg-aqua" TargetMode="External"/><Relationship Id="rId88" Type="http://schemas.openxmlformats.org/officeDocument/2006/relationships/hyperlink" Target="https://www.ifbappliances.com/tl-s4sts-9-kg-aqua" TargetMode="External"/><Relationship Id="rId111" Type="http://schemas.openxmlformats.org/officeDocument/2006/relationships/hyperlink" Target="https://www.ifbappliances.com/turbo-dry-lx" TargetMode="External"/><Relationship Id="rId132" Type="http://schemas.openxmlformats.org/officeDocument/2006/relationships/hyperlink" Target="https://www.ifbappliances.com/30bc5-30-ltrs-l-convection" TargetMode="External"/><Relationship Id="rId153" Type="http://schemas.openxmlformats.org/officeDocument/2006/relationships/hyperlink" Target="https://www.ifbappliances.com/ivs-1010050-ml" TargetMode="External"/><Relationship Id="rId174" Type="http://schemas.openxmlformats.org/officeDocument/2006/relationships/hyperlink" Target="https://www.ifbappliances.com/ci2433f323g4" TargetMode="External"/><Relationship Id="rId195" Type="http://schemas.openxmlformats.org/officeDocument/2006/relationships/hyperlink" Target="https://www.ifbappliances.com/executive-zxb" TargetMode="External"/><Relationship Id="rId209" Type="http://schemas.openxmlformats.org/officeDocument/2006/relationships/hyperlink" Target="https://www.ifbappliances.com/ifbdc-2235irg" TargetMode="External"/><Relationship Id="rId220" Type="http://schemas.openxmlformats.org/officeDocument/2006/relationships/hyperlink" Target="https://www.ifbappliances.com/ifbdc-2132fcs" TargetMode="External"/><Relationship Id="rId241" Type="http://schemas.openxmlformats.org/officeDocument/2006/relationships/hyperlink" Target="https://www.ifbappliances.com/ifbdc-2774igs" TargetMode="External"/><Relationship Id="rId15" Type="http://schemas.openxmlformats.org/officeDocument/2006/relationships/hyperlink" Target="https://www.ifbappliances.com/senator-sxs" TargetMode="External"/><Relationship Id="rId36" Type="http://schemas.openxmlformats.org/officeDocument/2006/relationships/hyperlink" Target="https://www.ifbappliances.com/executive-msc-9014" TargetMode="External"/><Relationship Id="rId57" Type="http://schemas.openxmlformats.org/officeDocument/2006/relationships/hyperlink" Target="https://www.ifbappliances.com/senator-gxn-8012" TargetMode="External"/><Relationship Id="rId262" Type="http://schemas.openxmlformats.org/officeDocument/2006/relationships/hyperlink" Target="https://www.ifbappliances.com/ifbff-2911fks" TargetMode="External"/><Relationship Id="rId78" Type="http://schemas.openxmlformats.org/officeDocument/2006/relationships/hyperlink" Target="https://www.ifbappliances.com/tl-reg-7-kg-aqua" TargetMode="External"/><Relationship Id="rId99" Type="http://schemas.openxmlformats.org/officeDocument/2006/relationships/hyperlink" Target="https://www.ifbappliances.com/tl-sdss-8-kg-aqua" TargetMode="External"/><Relationship Id="rId101" Type="http://schemas.openxmlformats.org/officeDocument/2006/relationships/hyperlink" Target="https://www.ifbappliances.com/tl-ssbl-9-kg" TargetMode="External"/><Relationship Id="rId122" Type="http://schemas.openxmlformats.org/officeDocument/2006/relationships/hyperlink" Target="https://www.ifbappliances.com/23bc4" TargetMode="External"/><Relationship Id="rId143" Type="http://schemas.openxmlformats.org/officeDocument/2006/relationships/hyperlink" Target="https://www.ifbappliances.com/ivs-13005-r" TargetMode="External"/><Relationship Id="rId164" Type="http://schemas.openxmlformats.org/officeDocument/2006/relationships/hyperlink" Target="https://www.ifbappliances.com/ci2433a323g3" TargetMode="External"/><Relationship Id="rId185" Type="http://schemas.openxmlformats.org/officeDocument/2006/relationships/hyperlink" Target="https://www.ifbappliances.com/ci1831g223gn1" TargetMode="External"/><Relationship Id="rId9" Type="http://schemas.openxmlformats.org/officeDocument/2006/relationships/hyperlink" Target="https://www.ifbappliances.com/serena-zss" TargetMode="External"/><Relationship Id="rId210" Type="http://schemas.openxmlformats.org/officeDocument/2006/relationships/hyperlink" Target="https://www.ifbappliances.com/ifbdc-2233ffg" TargetMode="External"/><Relationship Id="rId26" Type="http://schemas.openxmlformats.org/officeDocument/2006/relationships/hyperlink" Target="https://www.ifbappliances.com/executive-plus-vx-eco-inverter" TargetMode="External"/><Relationship Id="rId231" Type="http://schemas.openxmlformats.org/officeDocument/2006/relationships/hyperlink" Target="https://www.ifbappliances.com/ifbdc-2131fbf" TargetMode="External"/><Relationship Id="rId252" Type="http://schemas.openxmlformats.org/officeDocument/2006/relationships/hyperlink" Target="https://www.ifbappliances.com/ifbff-3362isg" TargetMode="External"/><Relationship Id="rId47" Type="http://schemas.openxmlformats.org/officeDocument/2006/relationships/hyperlink" Target="https://www.ifbappliances.com/diva-aqua-vss-6-kg" TargetMode="External"/><Relationship Id="rId68" Type="http://schemas.openxmlformats.org/officeDocument/2006/relationships/hyperlink" Target="https://www.ifbappliances.com/tl-sbrs-8-kg-aqua" TargetMode="External"/><Relationship Id="rId89" Type="http://schemas.openxmlformats.org/officeDocument/2006/relationships/hyperlink" Target="https://www.ifbappliances.com/tl-rews" TargetMode="External"/><Relationship Id="rId112" Type="http://schemas.openxmlformats.org/officeDocument/2006/relationships/hyperlink" Target="https://www.ifbappliances.com/turbo-dry-rx" TargetMode="External"/><Relationship Id="rId133" Type="http://schemas.openxmlformats.org/officeDocument/2006/relationships/hyperlink" Target="https://www.ifbappliances.com/25dgbc2-25-ltrs" TargetMode="External"/><Relationship Id="rId154" Type="http://schemas.openxmlformats.org/officeDocument/2006/relationships/hyperlink" Target="https://www.ifbappliances.com/ivs-510050-ml" TargetMode="External"/><Relationship Id="rId175" Type="http://schemas.openxmlformats.org/officeDocument/2006/relationships/hyperlink" Target="https://www.ifbappliances.com/ci1453f213gn1" TargetMode="External"/><Relationship Id="rId196" Type="http://schemas.openxmlformats.org/officeDocument/2006/relationships/hyperlink" Target="https://www.ifbappliances.com/executive-zxv" TargetMode="External"/><Relationship Id="rId200" Type="http://schemas.openxmlformats.org/officeDocument/2006/relationships/hyperlink" Target="https://www.ifbappliances.com/ifbdc-2235ibp" TargetMode="External"/><Relationship Id="rId16" Type="http://schemas.openxmlformats.org/officeDocument/2006/relationships/hyperlink" Target="https://www.ifbappliances.com/neo-diva-sxs-6-kg" TargetMode="External"/><Relationship Id="rId221" Type="http://schemas.openxmlformats.org/officeDocument/2006/relationships/hyperlink" Target="https://www.ifbappliances.com/ifbdc-2132fss" TargetMode="External"/><Relationship Id="rId242" Type="http://schemas.openxmlformats.org/officeDocument/2006/relationships/hyperlink" Target="https://www.ifbappliances.com/ifbdc-2324irv" TargetMode="External"/><Relationship Id="rId263" Type="http://schemas.openxmlformats.org/officeDocument/2006/relationships/hyperlink" Target="https://www.ifbappliances.com/ifbff-2902fbb" TargetMode="External"/><Relationship Id="rId37" Type="http://schemas.openxmlformats.org/officeDocument/2006/relationships/hyperlink" Target="https://www.ifbappliances.com/senator-vxs-8-kg-1200-rpm" TargetMode="External"/><Relationship Id="rId58" Type="http://schemas.openxmlformats.org/officeDocument/2006/relationships/hyperlink" Target="https://www.ifbappliances.com/executive-mbn-9014k" TargetMode="External"/><Relationship Id="rId79" Type="http://schemas.openxmlformats.org/officeDocument/2006/relationships/hyperlink" Target="https://www.ifbappliances.com/tl-reg-6-5kg-aqua-720-rpm" TargetMode="External"/><Relationship Id="rId102" Type="http://schemas.openxmlformats.org/officeDocument/2006/relationships/hyperlink" Target="https://www.ifbappliances.com/tl-s4rbs-12-kg-aqua" TargetMode="External"/><Relationship Id="rId123" Type="http://schemas.openxmlformats.org/officeDocument/2006/relationships/hyperlink" Target="https://www.ifbappliances.com/25sc4-163" TargetMode="External"/><Relationship Id="rId144" Type="http://schemas.openxmlformats.org/officeDocument/2006/relationships/hyperlink" Target="https://www.ifbappliances.com/ivs-1455-wmt" TargetMode="External"/><Relationship Id="rId90" Type="http://schemas.openxmlformats.org/officeDocument/2006/relationships/hyperlink" Target="https://www.ifbappliances.com/tl-rew" TargetMode="External"/><Relationship Id="rId165" Type="http://schemas.openxmlformats.org/officeDocument/2006/relationships/hyperlink" Target="https://www.ifbappliances.com/ci1852d223gn1" TargetMode="External"/><Relationship Id="rId186" Type="http://schemas.openxmlformats.org/officeDocument/2006/relationships/hyperlink" Target="https://www.ifbappliances.com/ci1833f223gm1" TargetMode="External"/><Relationship Id="rId211" Type="http://schemas.openxmlformats.org/officeDocument/2006/relationships/hyperlink" Target="https://www.ifbappliances.com/ifbdc-2233flg" TargetMode="External"/><Relationship Id="rId232" Type="http://schemas.openxmlformats.org/officeDocument/2006/relationships/hyperlink" Target="https://www.ifbappliances.com/ifbdc-2131fss" TargetMode="External"/><Relationship Id="rId253" Type="http://schemas.openxmlformats.org/officeDocument/2006/relationships/hyperlink" Target="https://www.ifbappliances.com/ifbff-3152isg" TargetMode="External"/><Relationship Id="rId27" Type="http://schemas.openxmlformats.org/officeDocument/2006/relationships/hyperlink" Target="https://www.ifbappliances.com/elena-plus-sxs" TargetMode="External"/><Relationship Id="rId48" Type="http://schemas.openxmlformats.org/officeDocument/2006/relationships/hyperlink" Target="https://www.ifbappliances.com/elena-sxs" TargetMode="External"/><Relationship Id="rId69" Type="http://schemas.openxmlformats.org/officeDocument/2006/relationships/hyperlink" Target="https://www.ifbappliances.com/tl-rpss-7-kg-aqua" TargetMode="External"/><Relationship Id="rId113" Type="http://schemas.openxmlformats.org/officeDocument/2006/relationships/hyperlink" Target="https://www.ifbappliances.com/turbodry-ex-5-5kg-l-55rpm" TargetMode="External"/><Relationship Id="rId134" Type="http://schemas.openxmlformats.org/officeDocument/2006/relationships/hyperlink" Target="https://www.ifbappliances.com/21sc5" TargetMode="External"/><Relationship Id="rId80" Type="http://schemas.openxmlformats.org/officeDocument/2006/relationships/hyperlink" Target="https://www.ifbappliances.com/tl-r2brs-6-5-kg-aqua" TargetMode="External"/><Relationship Id="rId155" Type="http://schemas.openxmlformats.org/officeDocument/2006/relationships/hyperlink" Target="https://www.ifbappliances.com/ivs955a" TargetMode="External"/><Relationship Id="rId176" Type="http://schemas.openxmlformats.org/officeDocument/2006/relationships/hyperlink" Target="https://www.ifbappliances.com/hi1831g223gm1" TargetMode="External"/><Relationship Id="rId197" Type="http://schemas.openxmlformats.org/officeDocument/2006/relationships/hyperlink" Target="https://www.ifbappliances.com/executive-zxm-8-5-6-5-2-5-1400rpm" TargetMode="External"/><Relationship Id="rId201" Type="http://schemas.openxmlformats.org/officeDocument/2006/relationships/hyperlink" Target="https://www.ifbappliances.com/ifbdc-2325irp" TargetMode="External"/><Relationship Id="rId222" Type="http://schemas.openxmlformats.org/officeDocument/2006/relationships/hyperlink" Target="https://www.ifbappliances.com/ifbdc-2232fss" TargetMode="External"/><Relationship Id="rId243" Type="http://schemas.openxmlformats.org/officeDocument/2006/relationships/hyperlink" Target="https://www.ifbappliances.com/ifbdc-2324ibv" TargetMode="External"/><Relationship Id="rId264" Type="http://schemas.openxmlformats.org/officeDocument/2006/relationships/hyperlink" Target="https://www.ifbappliances.com/ifbff-3152fbs" TargetMode="External"/><Relationship Id="rId17" Type="http://schemas.openxmlformats.org/officeDocument/2006/relationships/hyperlink" Target="https://www.ifbappliances.com/elite-zss" TargetMode="External"/><Relationship Id="rId38" Type="http://schemas.openxmlformats.org/officeDocument/2006/relationships/hyperlink" Target="https://www.ifbappliances.com/elena-sbs" TargetMode="External"/><Relationship Id="rId59" Type="http://schemas.openxmlformats.org/officeDocument/2006/relationships/hyperlink" Target="https://www.ifbappliances.com/senator-sxn-8014" TargetMode="External"/><Relationship Id="rId103" Type="http://schemas.openxmlformats.org/officeDocument/2006/relationships/hyperlink" Target="https://www.ifbappliances.com/tl-s1wrs-7-kg-aqua" TargetMode="External"/><Relationship Id="rId124" Type="http://schemas.openxmlformats.org/officeDocument/2006/relationships/hyperlink" Target="https://www.ifbappliances.com/30frc2" TargetMode="External"/><Relationship Id="rId70" Type="http://schemas.openxmlformats.org/officeDocument/2006/relationships/hyperlink" Target="https://www.ifbappliances.com/tl-regs-7kg" TargetMode="External"/><Relationship Id="rId91" Type="http://schemas.openxmlformats.org/officeDocument/2006/relationships/hyperlink" Target="https://www.ifbappliances.com/tl-sbrh-8-0-kg-aqua-l-720-rpm" TargetMode="External"/><Relationship Id="rId145" Type="http://schemas.openxmlformats.org/officeDocument/2006/relationships/hyperlink" Target="https://www.ifbappliances.com/ivs-1705-wmt" TargetMode="External"/><Relationship Id="rId166" Type="http://schemas.openxmlformats.org/officeDocument/2006/relationships/hyperlink" Target="https://www.ifbappliances.com/ci1831g223gm1" TargetMode="External"/><Relationship Id="rId187" Type="http://schemas.openxmlformats.org/officeDocument/2006/relationships/hyperlink" Target="https://www.ifbappliances.com/ci1333a113gn1" TargetMode="External"/><Relationship Id="rId1" Type="http://schemas.openxmlformats.org/officeDocument/2006/relationships/hyperlink" Target="https://www.ifbappliances.com/senator-plus-msc-8014" TargetMode="External"/><Relationship Id="rId212" Type="http://schemas.openxmlformats.org/officeDocument/2006/relationships/hyperlink" Target="https://www.ifbappliances.com/ifbdc-2133ffg" TargetMode="External"/><Relationship Id="rId233" Type="http://schemas.openxmlformats.org/officeDocument/2006/relationships/hyperlink" Target="https://www.ifbappliances.com/ifbdc-2233fbs" TargetMode="External"/><Relationship Id="rId254" Type="http://schemas.openxmlformats.org/officeDocument/2006/relationships/hyperlink" Target="https://www.ifbappliances.com/ifbff-3152irg" TargetMode="External"/><Relationship Id="rId28" Type="http://schemas.openxmlformats.org/officeDocument/2006/relationships/hyperlink" Target="https://www.ifbappliances.com/diva-aqua-sxs-7010" TargetMode="External"/><Relationship Id="rId49" Type="http://schemas.openxmlformats.org/officeDocument/2006/relationships/hyperlink" Target="https://www.ifbappliances.com/senorita-wxs-6-5-kg-1000-rpm" TargetMode="External"/><Relationship Id="rId114" Type="http://schemas.openxmlformats.org/officeDocument/2006/relationships/hyperlink" Target="https://www.ifbappliances.com/20pm-mec2b" TargetMode="External"/><Relationship Id="rId60" Type="http://schemas.openxmlformats.org/officeDocument/2006/relationships/hyperlink" Target="https://www.ifbappliances.com/executive-bxn-9014k" TargetMode="External"/><Relationship Id="rId81" Type="http://schemas.openxmlformats.org/officeDocument/2006/relationships/hyperlink" Target="https://www.ifbappliances.com/tl-s4bls-10-kg-aqua" TargetMode="External"/><Relationship Id="rId135" Type="http://schemas.openxmlformats.org/officeDocument/2006/relationships/hyperlink" Target="https://www.ifbappliances.com/20sc2" TargetMode="External"/><Relationship Id="rId156" Type="http://schemas.openxmlformats.org/officeDocument/2006/relationships/hyperlink" Target="https://www.ifbappliances.com/ivs1455a" TargetMode="External"/><Relationship Id="rId177" Type="http://schemas.openxmlformats.org/officeDocument/2006/relationships/hyperlink" Target="https://www.ifbappliances.com/ci2052a323gn1" TargetMode="External"/><Relationship Id="rId198" Type="http://schemas.openxmlformats.org/officeDocument/2006/relationships/hyperlink" Target="https://www.ifbappliances.com/ifbdc-2235ibb" TargetMode="External"/><Relationship Id="rId202" Type="http://schemas.openxmlformats.org/officeDocument/2006/relationships/hyperlink" Target="https://www.ifbappliances.com/ifbdc-2325ibp" TargetMode="External"/><Relationship Id="rId223" Type="http://schemas.openxmlformats.org/officeDocument/2006/relationships/hyperlink" Target="https://www.ifbappliances.com/ifbdc-2132fbf" TargetMode="External"/><Relationship Id="rId244" Type="http://schemas.openxmlformats.org/officeDocument/2006/relationships/hyperlink" Target="https://www.ifbappliances.com/ifbdc-2774irv" TargetMode="External"/><Relationship Id="rId18" Type="http://schemas.openxmlformats.org/officeDocument/2006/relationships/hyperlink" Target="https://www.ifbappliances.com/senator-mxs-8014" TargetMode="External"/><Relationship Id="rId39" Type="http://schemas.openxmlformats.org/officeDocument/2006/relationships/hyperlink" Target="https://www.ifbappliances.com/neo-diva-vxs" TargetMode="External"/><Relationship Id="rId265" Type="http://schemas.openxmlformats.org/officeDocument/2006/relationships/hyperlink" Target="https://www.ifbappliances.com/ifbff-2902frb" TargetMode="External"/><Relationship Id="rId50" Type="http://schemas.openxmlformats.org/officeDocument/2006/relationships/hyperlink" Target="https://www.ifbappliances.com/elena-zx-6-5-kg-1000-rpm" TargetMode="External"/><Relationship Id="rId104" Type="http://schemas.openxmlformats.org/officeDocument/2006/relationships/hyperlink" Target="https://www.ifbappliances.com/tl-sdsh-8-kg-aqua" TargetMode="External"/><Relationship Id="rId125" Type="http://schemas.openxmlformats.org/officeDocument/2006/relationships/hyperlink" Target="https://www.ifbappliances.com/20bc4" TargetMode="External"/><Relationship Id="rId146" Type="http://schemas.openxmlformats.org/officeDocument/2006/relationships/hyperlink" Target="https://www.ifbappliances.com/ivs-1405-wmt" TargetMode="External"/><Relationship Id="rId167" Type="http://schemas.openxmlformats.org/officeDocument/2006/relationships/hyperlink" Target="https://www.ifbappliances.com/ci1853e223gn1" TargetMode="External"/><Relationship Id="rId188" Type="http://schemas.openxmlformats.org/officeDocument/2006/relationships/hyperlink" Target="https://www.ifbappliances.com/ci1332d113gn1" TargetMode="External"/><Relationship Id="rId71" Type="http://schemas.openxmlformats.org/officeDocument/2006/relationships/hyperlink" Target="https://www.ifbappliances.com/tl-spgs-7-kg-aqua" TargetMode="External"/><Relationship Id="rId92" Type="http://schemas.openxmlformats.org/officeDocument/2006/relationships/hyperlink" Target="https://www.ifbappliances.com/tl-regs" TargetMode="External"/><Relationship Id="rId213" Type="http://schemas.openxmlformats.org/officeDocument/2006/relationships/hyperlink" Target="https://www.ifbappliances.com/ifbdc-2133flg" TargetMode="External"/><Relationship Id="rId234" Type="http://schemas.openxmlformats.org/officeDocument/2006/relationships/hyperlink" Target="https://www.ifbappliances.com/ifbdc-2133frh" TargetMode="External"/><Relationship Id="rId2" Type="http://schemas.openxmlformats.org/officeDocument/2006/relationships/hyperlink" Target="https://www.ifbappliances.com/senator-plus-sxc-8014" TargetMode="External"/><Relationship Id="rId29" Type="http://schemas.openxmlformats.org/officeDocument/2006/relationships/hyperlink" Target="https://www.ifbappliances.com/executive-mxs-id-1014" TargetMode="External"/><Relationship Id="rId255" Type="http://schemas.openxmlformats.org/officeDocument/2006/relationships/hyperlink" Target="https://www.ifbappliances.com/ifbff-2902irg" TargetMode="External"/><Relationship Id="rId40" Type="http://schemas.openxmlformats.org/officeDocument/2006/relationships/hyperlink" Target="https://www.ifbappliances.com/senator-plus-vxs" TargetMode="External"/><Relationship Id="rId115" Type="http://schemas.openxmlformats.org/officeDocument/2006/relationships/hyperlink" Target="https://www.ifbappliances.com/25pm2s-25ltrs-l-solo" TargetMode="External"/><Relationship Id="rId136" Type="http://schemas.openxmlformats.org/officeDocument/2006/relationships/hyperlink" Target="https://www.ifbappliances.com/neptune-vx16" TargetMode="External"/><Relationship Id="rId157" Type="http://schemas.openxmlformats.org/officeDocument/2006/relationships/hyperlink" Target="https://www.ifbappliances.com/ivs1705a" TargetMode="External"/><Relationship Id="rId178" Type="http://schemas.openxmlformats.org/officeDocument/2006/relationships/hyperlink" Target="https://www.ifbappliances.com/ci2053a323gn1" TargetMode="External"/><Relationship Id="rId61" Type="http://schemas.openxmlformats.org/officeDocument/2006/relationships/hyperlink" Target="https://www.ifbappliances.com/senator-bxn-8012" TargetMode="External"/><Relationship Id="rId82" Type="http://schemas.openxmlformats.org/officeDocument/2006/relationships/hyperlink" Target="https://www.ifbappliances.com/tl-r1brs-7-kg-aqua" TargetMode="External"/><Relationship Id="rId199" Type="http://schemas.openxmlformats.org/officeDocument/2006/relationships/hyperlink" Target="https://www.ifbappliances.com/ifbdc-2235irp" TargetMode="External"/><Relationship Id="rId203" Type="http://schemas.openxmlformats.org/officeDocument/2006/relationships/hyperlink" Target="https://www.ifbappliances.com/ifbdc-2132fkg" TargetMode="External"/><Relationship Id="rId19" Type="http://schemas.openxmlformats.org/officeDocument/2006/relationships/hyperlink" Target="https://www.ifbappliances.com/senator-zms" TargetMode="External"/><Relationship Id="rId224" Type="http://schemas.openxmlformats.org/officeDocument/2006/relationships/hyperlink" Target="https://www.ifbappliances.com/ifbdc-2132frf" TargetMode="External"/><Relationship Id="rId245" Type="http://schemas.openxmlformats.org/officeDocument/2006/relationships/hyperlink" Target="https://www.ifbappliances.com/ifbdc-2133fbs" TargetMode="External"/><Relationship Id="rId266" Type="http://schemas.openxmlformats.org/officeDocument/2006/relationships/hyperlink" Target="https://www.ifbappliances.com/ifbff-2902igs" TargetMode="External"/><Relationship Id="rId30" Type="http://schemas.openxmlformats.org/officeDocument/2006/relationships/hyperlink" Target="https://www.ifbappliances.com/executive-plus-vsc-1014" TargetMode="External"/><Relationship Id="rId105" Type="http://schemas.openxmlformats.org/officeDocument/2006/relationships/hyperlink" Target="https://www.ifbappliances.com/tl-ress-7-kg-aqua" TargetMode="External"/><Relationship Id="rId126" Type="http://schemas.openxmlformats.org/officeDocument/2006/relationships/hyperlink" Target="https://www.ifbappliances.com/25bc4" TargetMode="External"/><Relationship Id="rId147" Type="http://schemas.openxmlformats.org/officeDocument/2006/relationships/hyperlink" Target="https://www.ifbappliances.com/ivs-1605-wmt" TargetMode="External"/><Relationship Id="rId168" Type="http://schemas.openxmlformats.org/officeDocument/2006/relationships/hyperlink" Target="https://www.ifbappliances.com/ci2432d323g3" TargetMode="External"/><Relationship Id="rId51" Type="http://schemas.openxmlformats.org/officeDocument/2006/relationships/hyperlink" Target="https://www.ifbappliances.com/elite-zxs-7kg-1000-rpm" TargetMode="External"/><Relationship Id="rId72" Type="http://schemas.openxmlformats.org/officeDocument/2006/relationships/hyperlink" Target="https://www.ifbappliances.com/tl-rpss-6-5-kg-aqua" TargetMode="External"/><Relationship Id="rId93" Type="http://schemas.openxmlformats.org/officeDocument/2006/relationships/hyperlink" Target="https://www.ifbappliances.com/tl-rbr" TargetMode="External"/><Relationship Id="rId189" Type="http://schemas.openxmlformats.org/officeDocument/2006/relationships/hyperlink" Target="https://www.ifbappliances.com/ci1333e113gn1" TargetMode="External"/><Relationship Id="rId3" Type="http://schemas.openxmlformats.org/officeDocument/2006/relationships/hyperlink" Target="https://www.ifbappliances.com/executive-plus-mxc-1014" TargetMode="External"/><Relationship Id="rId214" Type="http://schemas.openxmlformats.org/officeDocument/2006/relationships/hyperlink" Target="https://www.ifbappliances.com/ifbdc-2132flg" TargetMode="External"/><Relationship Id="rId235" Type="http://schemas.openxmlformats.org/officeDocument/2006/relationships/hyperlink" Target="https://www.ifbappliances.com/ifbdc-2133fbh" TargetMode="External"/><Relationship Id="rId256" Type="http://schemas.openxmlformats.org/officeDocument/2006/relationships/hyperlink" Target="https://www.ifbappliances.com/ifbff-2902fsg" TargetMode="External"/><Relationship Id="rId116" Type="http://schemas.openxmlformats.org/officeDocument/2006/relationships/hyperlink" Target="https://www.ifbappliances.com/24pm2b" TargetMode="External"/><Relationship Id="rId137" Type="http://schemas.openxmlformats.org/officeDocument/2006/relationships/hyperlink" Target="https://www.ifbappliances.com/neptune-vx2-plus" TargetMode="External"/><Relationship Id="rId158" Type="http://schemas.openxmlformats.org/officeDocument/2006/relationships/hyperlink" Target="https://www.ifbappliances.com/ivs1805a" TargetMode="External"/><Relationship Id="rId20" Type="http://schemas.openxmlformats.org/officeDocument/2006/relationships/hyperlink" Target="https://www.ifbappliances.com/senator-plus-sxs" TargetMode="External"/><Relationship Id="rId41" Type="http://schemas.openxmlformats.org/officeDocument/2006/relationships/hyperlink" Target="https://www.ifbappliances.com/neo-diva-bxs" TargetMode="External"/><Relationship Id="rId62" Type="http://schemas.openxmlformats.org/officeDocument/2006/relationships/hyperlink" Target="https://www.ifbappliances.com/executive-msn-9014k" TargetMode="External"/><Relationship Id="rId83" Type="http://schemas.openxmlformats.org/officeDocument/2006/relationships/hyperlink" Target="https://www.ifbappliances.com/tl-r2br-7-kg-aqua" TargetMode="External"/><Relationship Id="rId179" Type="http://schemas.openxmlformats.org/officeDocument/2006/relationships/hyperlink" Target="https://www.ifbappliances.com/ci2051g323gn1" TargetMode="External"/><Relationship Id="rId190" Type="http://schemas.openxmlformats.org/officeDocument/2006/relationships/hyperlink" Target="https://www.ifbappliances.com/iahi24x23g3c" TargetMode="External"/><Relationship Id="rId204" Type="http://schemas.openxmlformats.org/officeDocument/2006/relationships/hyperlink" Target="https://www.ifbappliances.com/ifbdc-2233fkg" TargetMode="External"/><Relationship Id="rId225" Type="http://schemas.openxmlformats.org/officeDocument/2006/relationships/hyperlink" Target="https://www.ifbappliances.com/ifbdc-2322fbs" TargetMode="External"/><Relationship Id="rId246" Type="http://schemas.openxmlformats.org/officeDocument/2006/relationships/hyperlink" Target="https://www.ifbappliances.com/ifbff-2902fkg" TargetMode="External"/><Relationship Id="rId267" Type="http://schemas.openxmlformats.org/officeDocument/2006/relationships/hyperlink" Target="https://www.ifbappliances.com/ifbff-3152iks" TargetMode="External"/><Relationship Id="rId106" Type="http://schemas.openxmlformats.org/officeDocument/2006/relationships/hyperlink" Target="https://www.ifbappliances.com/tl-spss-6-5-kg-aqua" TargetMode="External"/><Relationship Id="rId127" Type="http://schemas.openxmlformats.org/officeDocument/2006/relationships/hyperlink" Target="https://www.ifbappliances.com/28bc5" TargetMode="External"/><Relationship Id="rId10" Type="http://schemas.openxmlformats.org/officeDocument/2006/relationships/hyperlink" Target="https://www.ifbappliances.com/elena-zss" TargetMode="External"/><Relationship Id="rId31" Type="http://schemas.openxmlformats.org/officeDocument/2006/relationships/hyperlink" Target="https://www.ifbappliances.com/diva-aqua-sbs-6-kg" TargetMode="External"/><Relationship Id="rId52" Type="http://schemas.openxmlformats.org/officeDocument/2006/relationships/hyperlink" Target="https://www.ifbappliances.com/senator-smart-touch-sx-8-5-kg" TargetMode="External"/><Relationship Id="rId73" Type="http://schemas.openxmlformats.org/officeDocument/2006/relationships/hyperlink" Target="https://www.ifbappliances.com/tl-res" TargetMode="External"/><Relationship Id="rId94" Type="http://schemas.openxmlformats.org/officeDocument/2006/relationships/hyperlink" Target="https://www.ifbappliances.com/tl-s4rbs-10-kg-aqua" TargetMode="External"/><Relationship Id="rId148" Type="http://schemas.openxmlformats.org/officeDocument/2006/relationships/hyperlink" Target="https://www.ifbappliances.com/ivs-515-wmt" TargetMode="External"/><Relationship Id="rId169" Type="http://schemas.openxmlformats.org/officeDocument/2006/relationships/hyperlink" Target="https://www.ifbappliances.com/ci2431g323g3" TargetMode="External"/><Relationship Id="rId4" Type="http://schemas.openxmlformats.org/officeDocument/2006/relationships/hyperlink" Target="https://www.ifbappliances.com/senator-plus-mxc-8014" TargetMode="External"/><Relationship Id="rId180" Type="http://schemas.openxmlformats.org/officeDocument/2006/relationships/hyperlink" Target="https://www.ifbappliances.com/ci2053f323gn1" TargetMode="External"/><Relationship Id="rId215" Type="http://schemas.openxmlformats.org/officeDocument/2006/relationships/hyperlink" Target="https://www.ifbappliances.com/ifbdc-2483fbs" TargetMode="External"/><Relationship Id="rId236" Type="http://schemas.openxmlformats.org/officeDocument/2006/relationships/hyperlink" Target="https://www.ifbappliances.com/ifbdc-2483frh" TargetMode="External"/><Relationship Id="rId257" Type="http://schemas.openxmlformats.org/officeDocument/2006/relationships/hyperlink" Target="https://www.ifbappliances.com/ifbff-3363imsu" TargetMode="External"/><Relationship Id="rId42" Type="http://schemas.openxmlformats.org/officeDocument/2006/relationships/hyperlink" Target="https://www.ifbappliances.com/senator-neo-mxs" TargetMode="External"/><Relationship Id="rId84" Type="http://schemas.openxmlformats.org/officeDocument/2006/relationships/hyperlink" Target="https://www.ifbappliances.com/tl-s4rbs-9-kg-aqua" TargetMode="External"/><Relationship Id="rId138" Type="http://schemas.openxmlformats.org/officeDocument/2006/relationships/hyperlink" Target="https://www.ifbappliances.com/neptune-sx2" TargetMode="External"/><Relationship Id="rId191" Type="http://schemas.openxmlformats.org/officeDocument/2006/relationships/hyperlink" Target="https://www.ifbappliances.com/c12432a323g4" TargetMode="External"/><Relationship Id="rId205" Type="http://schemas.openxmlformats.org/officeDocument/2006/relationships/hyperlink" Target="https://www.ifbappliances.com/ifbdc-2235ikg" TargetMode="External"/><Relationship Id="rId247" Type="http://schemas.openxmlformats.org/officeDocument/2006/relationships/hyperlink" Target="https://www.ifbappliances.com/ifbff-3362i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DCEF-4BB4-4FAB-9B55-35EDA767705A}">
  <sheetPr codeName="Sheet1"/>
  <dimension ref="A1:AO65"/>
  <sheetViews>
    <sheetView topLeftCell="A32" workbookViewId="0">
      <selection sqref="A1:L65"/>
    </sheetView>
  </sheetViews>
  <sheetFormatPr defaultRowHeight="15" x14ac:dyDescent="0.25"/>
  <cols>
    <col min="1" max="1" width="7.42578125" customWidth="1"/>
    <col min="2" max="2" width="27.140625" bestFit="1" customWidth="1"/>
    <col min="3" max="3" width="22.140625" style="8" customWidth="1"/>
    <col min="4" max="4" width="39.5703125" style="8" customWidth="1"/>
    <col min="5" max="5" width="11.42578125" bestFit="1" customWidth="1"/>
    <col min="6" max="6" width="10.5703125" bestFit="1" customWidth="1"/>
    <col min="7" max="7" width="15.5703125" customWidth="1"/>
    <col min="8" max="8" width="9.7109375" customWidth="1"/>
    <col min="9" max="9" width="11.140625" customWidth="1"/>
    <col min="10" max="10" width="13.7109375" bestFit="1" customWidth="1"/>
    <col min="11" max="11" width="13.7109375" customWidth="1"/>
    <col min="12" max="12" width="8.42578125" bestFit="1" customWidth="1"/>
    <col min="13" max="13" width="11.140625" bestFit="1" customWidth="1"/>
    <col min="14" max="14" width="7.28515625" bestFit="1" customWidth="1"/>
    <col min="15" max="15" width="9.7109375" bestFit="1" customWidth="1"/>
    <col min="16" max="16" width="15.7109375" bestFit="1" customWidth="1"/>
    <col min="17" max="17" width="21.7109375" bestFit="1" customWidth="1"/>
    <col min="18" max="18" width="22.42578125" bestFit="1" customWidth="1"/>
    <col min="19" max="19" width="13.140625" bestFit="1" customWidth="1"/>
    <col min="20" max="20" width="10" bestFit="1" customWidth="1"/>
    <col min="21" max="21" width="6.42578125" bestFit="1" customWidth="1"/>
    <col min="22" max="22" width="12.28515625" bestFit="1" customWidth="1"/>
    <col min="23" max="23" width="16.85546875" bestFit="1" customWidth="1"/>
    <col min="24" max="24" width="12.42578125" bestFit="1" customWidth="1"/>
    <col min="25" max="25" width="15.42578125" bestFit="1" customWidth="1"/>
    <col min="26" max="26" width="7.5703125" bestFit="1" customWidth="1"/>
    <col min="27" max="27" width="6.7109375" bestFit="1" customWidth="1"/>
    <col min="28" max="29" width="6.42578125" bestFit="1" customWidth="1"/>
    <col min="30" max="30" width="15.5703125" bestFit="1" customWidth="1"/>
    <col min="31" max="31" width="23.85546875" bestFit="1" customWidth="1"/>
    <col min="32" max="32" width="25.85546875" bestFit="1" customWidth="1"/>
    <col min="33" max="33" width="14.85546875" bestFit="1" customWidth="1"/>
    <col min="34" max="34" width="11.5703125" bestFit="1" customWidth="1"/>
    <col min="35" max="35" width="13.5703125" bestFit="1" customWidth="1"/>
    <col min="36" max="37" width="8.7109375" bestFit="1" customWidth="1"/>
    <col min="38" max="38" width="11" bestFit="1" customWidth="1"/>
    <col min="39" max="39" width="10.5703125" bestFit="1" customWidth="1"/>
    <col min="40" max="40" width="9.28515625" bestFit="1" customWidth="1"/>
    <col min="41" max="41" width="10.28515625" bestFit="1" customWidth="1"/>
  </cols>
  <sheetData>
    <row r="1" spans="1:41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 t="s">
        <v>838</v>
      </c>
      <c r="J1" s="4" t="s">
        <v>70</v>
      </c>
      <c r="K1" s="4" t="s">
        <v>840</v>
      </c>
      <c r="L1" s="4" t="s">
        <v>72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80</v>
      </c>
      <c r="T1" s="4" t="s">
        <v>82</v>
      </c>
      <c r="U1" s="4" t="s">
        <v>84</v>
      </c>
      <c r="V1" s="4" t="s">
        <v>85</v>
      </c>
      <c r="W1" s="4" t="s">
        <v>86</v>
      </c>
      <c r="X1" s="4" t="s">
        <v>87</v>
      </c>
      <c r="Y1" s="4" t="s">
        <v>88</v>
      </c>
      <c r="Z1" s="4" t="s">
        <v>89</v>
      </c>
      <c r="AA1" s="4" t="s">
        <v>90</v>
      </c>
      <c r="AB1" s="4" t="s">
        <v>91</v>
      </c>
      <c r="AC1" s="4" t="s">
        <v>110</v>
      </c>
      <c r="AD1" s="4" t="s">
        <v>129</v>
      </c>
      <c r="AE1" s="4" t="s">
        <v>92</v>
      </c>
      <c r="AF1" s="4" t="s">
        <v>93</v>
      </c>
      <c r="AG1" s="4" t="s">
        <v>94</v>
      </c>
      <c r="AH1" s="4" t="s">
        <v>95</v>
      </c>
      <c r="AI1" s="4" t="s">
        <v>96</v>
      </c>
      <c r="AJ1" s="4" t="s">
        <v>112</v>
      </c>
      <c r="AK1" s="4" t="s">
        <v>113</v>
      </c>
      <c r="AL1" s="4" t="s">
        <v>114</v>
      </c>
      <c r="AM1" s="4" t="s">
        <v>118</v>
      </c>
      <c r="AN1" s="4" t="s">
        <v>120</v>
      </c>
      <c r="AO1" s="4" t="s">
        <v>122</v>
      </c>
    </row>
    <row r="2" spans="1:41" x14ac:dyDescent="0.25">
      <c r="A2">
        <v>1</v>
      </c>
      <c r="B2" s="1" t="s">
        <v>0</v>
      </c>
      <c r="C2" s="6">
        <v>8903287030017</v>
      </c>
      <c r="D2" s="7" t="str">
        <f>VLOOKUP(C2,[1]Sheet1!$A$2:$E$1223,2,0)&amp;", "&amp;VLOOKUP(C2,[1]Sheet1!$A$2:$E$1223,3,0)&amp;", "&amp;VLOOKUP(C2,[1]Sheet1!$A$2:$E$1223,5,0)</f>
        <v>SENATOR PLUS MSC, FLU, 58290</v>
      </c>
      <c r="E2" t="s">
        <v>1</v>
      </c>
      <c r="F2" t="s">
        <v>2</v>
      </c>
      <c r="G2" t="s">
        <v>134</v>
      </c>
      <c r="H2">
        <v>58290</v>
      </c>
      <c r="I2">
        <f>VLOOKUP(C2,[1]Sheet1!$A$363:$E$1218,5,0)</f>
        <v>58290</v>
      </c>
      <c r="J2" s="2">
        <f t="shared" ref="J2:J26" si="0">H2-(0.12*H2)</f>
        <v>51295.199999999997</v>
      </c>
      <c r="K2" s="2" t="str">
        <f>VLOOKUP(B2,'[2]WM-FLM'!$B$2:$AO$65,40,0)</f>
        <v>A++</v>
      </c>
      <c r="L2" t="s">
        <v>73</v>
      </c>
      <c r="M2">
        <v>8</v>
      </c>
      <c r="N2">
        <v>1400</v>
      </c>
      <c r="O2">
        <v>75</v>
      </c>
      <c r="P2">
        <v>5</v>
      </c>
      <c r="Q2">
        <v>8.9</v>
      </c>
      <c r="R2">
        <v>0.06</v>
      </c>
      <c r="S2" t="s">
        <v>81</v>
      </c>
      <c r="T2" t="s">
        <v>83</v>
      </c>
      <c r="U2" t="s">
        <v>97</v>
      </c>
      <c r="V2" t="s">
        <v>98</v>
      </c>
      <c r="W2" t="s">
        <v>99</v>
      </c>
      <c r="X2" t="s">
        <v>100</v>
      </c>
      <c r="Y2" t="s">
        <v>101</v>
      </c>
      <c r="Z2" t="s">
        <v>104</v>
      </c>
      <c r="AA2" t="s">
        <v>102</v>
      </c>
      <c r="AB2" t="s">
        <v>103</v>
      </c>
      <c r="AE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115</v>
      </c>
      <c r="AK2" t="s">
        <v>116</v>
      </c>
      <c r="AL2" t="s">
        <v>117</v>
      </c>
      <c r="AM2" t="s">
        <v>119</v>
      </c>
      <c r="AN2" t="s">
        <v>121</v>
      </c>
      <c r="AO2" t="s">
        <v>123</v>
      </c>
    </row>
    <row r="3" spans="1:41" x14ac:dyDescent="0.25">
      <c r="A3">
        <v>2</v>
      </c>
      <c r="B3" s="1" t="s">
        <v>3</v>
      </c>
      <c r="C3" s="6">
        <v>8903287025334</v>
      </c>
      <c r="D3" s="7" t="str">
        <f>VLOOKUP(C3,[1]Sheet1!$A$2:$E$1223,2,0)&amp;", "&amp;VLOOKUP(C3,[1]Sheet1!$A$2:$E$1223,3,0)&amp;", "&amp;VLOOKUP(C3,[1]Sheet1!$A$2:$E$1223,5,0)</f>
        <v>SENATOR PLUS SXC, FLU, 57290</v>
      </c>
      <c r="E3" t="s">
        <v>1</v>
      </c>
      <c r="F3" t="s">
        <v>2</v>
      </c>
      <c r="G3" t="s">
        <v>135</v>
      </c>
      <c r="H3">
        <v>57290</v>
      </c>
      <c r="I3">
        <f>VLOOKUP(C3,[1]Sheet1!$A$363:$E$1218,5,0)</f>
        <v>57290</v>
      </c>
      <c r="J3" s="2">
        <f t="shared" si="0"/>
        <v>50415.199999999997</v>
      </c>
      <c r="K3" s="2" t="str">
        <f>VLOOKUP(B3,'[2]WM-FLM'!$B$2:$AO$65,40,0)</f>
        <v>A+</v>
      </c>
      <c r="L3" t="s">
        <v>73</v>
      </c>
      <c r="M3">
        <v>8</v>
      </c>
      <c r="N3">
        <v>1400</v>
      </c>
      <c r="O3">
        <v>75</v>
      </c>
      <c r="P3">
        <v>5</v>
      </c>
      <c r="Q3">
        <v>8.9</v>
      </c>
      <c r="R3">
        <v>0.06</v>
      </c>
      <c r="S3" t="s">
        <v>81</v>
      </c>
      <c r="T3" t="s">
        <v>83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  <c r="Z3" t="s">
        <v>104</v>
      </c>
      <c r="AA3" t="s">
        <v>102</v>
      </c>
      <c r="AB3" t="s">
        <v>103</v>
      </c>
      <c r="AC3" t="s">
        <v>111</v>
      </c>
      <c r="AE3" t="s">
        <v>105</v>
      </c>
      <c r="AF3" t="s">
        <v>106</v>
      </c>
      <c r="AG3" t="s">
        <v>107</v>
      </c>
      <c r="AH3" t="s">
        <v>108</v>
      </c>
      <c r="AI3" t="s">
        <v>109</v>
      </c>
      <c r="AJ3" t="s">
        <v>115</v>
      </c>
      <c r="AK3" t="s">
        <v>116</v>
      </c>
      <c r="AL3" t="s">
        <v>117</v>
      </c>
      <c r="AM3" t="s">
        <v>119</v>
      </c>
      <c r="AN3" t="s">
        <v>121</v>
      </c>
      <c r="AO3" t="s">
        <v>123</v>
      </c>
    </row>
    <row r="4" spans="1:41" x14ac:dyDescent="0.25">
      <c r="A4">
        <v>3</v>
      </c>
      <c r="B4" s="1" t="s">
        <v>4</v>
      </c>
      <c r="C4" s="6">
        <v>8903287026522</v>
      </c>
      <c r="D4" s="7" t="str">
        <f>VLOOKUP(C4,[1]Sheet1!$A$2:$E$1223,2,0)&amp;", "&amp;VLOOKUP(C4,[1]Sheet1!$A$2:$E$1223,3,0)&amp;", "&amp;VLOOKUP(C4,[1]Sheet1!$A$2:$E$1223,5,0)</f>
        <v>EXECUTIVE PLUS MXC 1014, FLU, 62990</v>
      </c>
      <c r="E4" t="s">
        <v>1</v>
      </c>
      <c r="F4" t="s">
        <v>2</v>
      </c>
      <c r="G4" t="s">
        <v>136</v>
      </c>
      <c r="H4">
        <v>62990</v>
      </c>
      <c r="I4">
        <f>VLOOKUP(C4,[1]Sheet1!$A$363:$E$1218,5,0)</f>
        <v>62990</v>
      </c>
      <c r="J4" s="2">
        <f t="shared" si="0"/>
        <v>55431.199999999997</v>
      </c>
      <c r="K4" s="2" t="str">
        <f>VLOOKUP(B4,'[2]WM-FLM'!$B$2:$AO$65,40,0)</f>
        <v>A++</v>
      </c>
      <c r="L4" t="s">
        <v>73</v>
      </c>
      <c r="M4">
        <v>10</v>
      </c>
      <c r="N4">
        <v>1400</v>
      </c>
      <c r="O4">
        <v>76</v>
      </c>
      <c r="P4">
        <v>5</v>
      </c>
      <c r="Q4">
        <v>8</v>
      </c>
      <c r="R4">
        <v>0.06</v>
      </c>
      <c r="S4" t="s">
        <v>124</v>
      </c>
      <c r="T4" t="s">
        <v>83</v>
      </c>
      <c r="U4" t="s">
        <v>97</v>
      </c>
      <c r="V4" t="s">
        <v>98</v>
      </c>
      <c r="W4" t="s">
        <v>99</v>
      </c>
      <c r="X4" t="s">
        <v>100</v>
      </c>
      <c r="Y4" t="s">
        <v>125</v>
      </c>
      <c r="Z4" t="s">
        <v>104</v>
      </c>
      <c r="AA4" t="s">
        <v>102</v>
      </c>
      <c r="AB4" t="s">
        <v>103</v>
      </c>
      <c r="AC4" t="s">
        <v>111</v>
      </c>
      <c r="AE4" t="s">
        <v>105</v>
      </c>
      <c r="AF4" t="s">
        <v>106</v>
      </c>
      <c r="AG4" t="s">
        <v>107</v>
      </c>
      <c r="AH4" t="s">
        <v>108</v>
      </c>
      <c r="AI4" t="s">
        <v>109</v>
      </c>
      <c r="AJ4" t="s">
        <v>115</v>
      </c>
      <c r="AK4" t="s">
        <v>116</v>
      </c>
      <c r="AL4" t="s">
        <v>117</v>
      </c>
      <c r="AM4" t="s">
        <v>119</v>
      </c>
      <c r="AN4" t="s">
        <v>121</v>
      </c>
      <c r="AO4" t="s">
        <v>123</v>
      </c>
    </row>
    <row r="5" spans="1:41" x14ac:dyDescent="0.25">
      <c r="A5">
        <v>4</v>
      </c>
      <c r="B5" s="1" t="s">
        <v>5</v>
      </c>
      <c r="C5" s="6">
        <v>8903287025341</v>
      </c>
      <c r="D5" s="7" t="str">
        <f>VLOOKUP(C5,[1]Sheet1!$A$2:$E$1223,2,0)&amp;", "&amp;VLOOKUP(C5,[1]Sheet1!$A$2:$E$1223,3,0)&amp;", "&amp;VLOOKUP(C5,[1]Sheet1!$A$2:$E$1223,5,0)</f>
        <v>SENATOR PLUS MXC, FLU, 59290</v>
      </c>
      <c r="E5" t="s">
        <v>1</v>
      </c>
      <c r="F5" t="s">
        <v>2</v>
      </c>
      <c r="G5" t="s">
        <v>137</v>
      </c>
      <c r="H5">
        <v>59290</v>
      </c>
      <c r="I5">
        <f>VLOOKUP(C5,[1]Sheet1!$A$363:$E$1218,5,0)</f>
        <v>59290</v>
      </c>
      <c r="J5" s="2">
        <f t="shared" si="0"/>
        <v>52175.199999999997</v>
      </c>
      <c r="K5" s="2" t="str">
        <f>VLOOKUP(B5,'[2]WM-FLM'!$B$2:$AO$65,40,0)</f>
        <v>A++</v>
      </c>
      <c r="L5" t="s">
        <v>73</v>
      </c>
      <c r="M5">
        <v>8</v>
      </c>
      <c r="N5">
        <v>1400</v>
      </c>
      <c r="O5">
        <v>75</v>
      </c>
      <c r="P5">
        <v>5</v>
      </c>
      <c r="Q5">
        <v>8.9</v>
      </c>
      <c r="R5">
        <v>0.06</v>
      </c>
      <c r="S5" t="s">
        <v>124</v>
      </c>
      <c r="T5" t="s">
        <v>83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104</v>
      </c>
      <c r="AA5" t="s">
        <v>102</v>
      </c>
      <c r="AB5" t="s">
        <v>103</v>
      </c>
      <c r="AC5" t="s">
        <v>111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115</v>
      </c>
      <c r="AK5" t="s">
        <v>116</v>
      </c>
      <c r="AL5" t="s">
        <v>117</v>
      </c>
      <c r="AM5" t="s">
        <v>119</v>
      </c>
      <c r="AN5" t="s">
        <v>121</v>
      </c>
      <c r="AO5" t="s">
        <v>123</v>
      </c>
    </row>
    <row r="6" spans="1:41" x14ac:dyDescent="0.25">
      <c r="A6">
        <v>5</v>
      </c>
      <c r="B6" s="1" t="s">
        <v>6</v>
      </c>
      <c r="C6" s="6">
        <v>8903287025358</v>
      </c>
      <c r="D6" s="7" t="str">
        <f>VLOOKUP(C6,[1]Sheet1!$A$2:$E$1223,2,0)&amp;", "&amp;VLOOKUP(C6,[1]Sheet1!$A$2:$E$1223,3,0)&amp;", "&amp;VLOOKUP(C6,[1]Sheet1!$A$2:$E$1223,5,0)</f>
        <v>EXECUTIVE MXC 9014, FLU, 60990</v>
      </c>
      <c r="E6" t="s">
        <v>1</v>
      </c>
      <c r="F6" t="s">
        <v>2</v>
      </c>
      <c r="G6" t="s">
        <v>138</v>
      </c>
      <c r="H6">
        <v>60990</v>
      </c>
      <c r="I6">
        <f>VLOOKUP(C6,[1]Sheet1!$A$363:$E$1218,5,0)</f>
        <v>60990</v>
      </c>
      <c r="J6" s="2">
        <f t="shared" si="0"/>
        <v>53671.199999999997</v>
      </c>
      <c r="K6" s="2" t="str">
        <f>VLOOKUP(B6,'[2]WM-FLM'!$B$2:$AO$65,40,0)</f>
        <v>A++</v>
      </c>
      <c r="L6" t="s">
        <v>73</v>
      </c>
      <c r="M6">
        <v>9</v>
      </c>
      <c r="N6">
        <v>1400</v>
      </c>
      <c r="O6">
        <v>76</v>
      </c>
      <c r="P6">
        <v>5</v>
      </c>
      <c r="Q6">
        <v>8.9</v>
      </c>
      <c r="R6">
        <v>0.06</v>
      </c>
      <c r="S6" t="s">
        <v>124</v>
      </c>
      <c r="T6" t="s">
        <v>83</v>
      </c>
      <c r="U6" t="s">
        <v>97</v>
      </c>
      <c r="V6" t="s">
        <v>98</v>
      </c>
      <c r="W6" t="s">
        <v>99</v>
      </c>
      <c r="X6" t="s">
        <v>100</v>
      </c>
      <c r="Y6" t="s">
        <v>125</v>
      </c>
      <c r="Z6" t="s">
        <v>104</v>
      </c>
      <c r="AA6" t="s">
        <v>102</v>
      </c>
      <c r="AB6" t="s">
        <v>103</v>
      </c>
      <c r="AC6" t="s">
        <v>111</v>
      </c>
      <c r="AE6" t="s">
        <v>105</v>
      </c>
      <c r="AF6" t="s">
        <v>106</v>
      </c>
      <c r="AG6" t="s">
        <v>107</v>
      </c>
      <c r="AH6" t="s">
        <v>108</v>
      </c>
      <c r="AI6" t="s">
        <v>109</v>
      </c>
      <c r="AJ6" t="s">
        <v>115</v>
      </c>
      <c r="AK6" t="s">
        <v>116</v>
      </c>
      <c r="AL6" t="s">
        <v>117</v>
      </c>
      <c r="AM6" t="s">
        <v>119</v>
      </c>
      <c r="AN6" t="s">
        <v>121</v>
      </c>
      <c r="AO6" t="s">
        <v>123</v>
      </c>
    </row>
    <row r="7" spans="1:41" x14ac:dyDescent="0.25">
      <c r="A7">
        <v>6</v>
      </c>
      <c r="B7" s="1" t="s">
        <v>7</v>
      </c>
      <c r="C7" s="6">
        <v>8903287024788</v>
      </c>
      <c r="D7" s="7" t="str">
        <f>VLOOKUP(C7,[1]Sheet1!$A$2:$E$1223,2,0)&amp;", "&amp;VLOOKUP(C7,[1]Sheet1!$A$2:$E$1223,3,0)&amp;", "&amp;VLOOKUP(C7,[1]Sheet1!$A$2:$E$1223,5,0)</f>
        <v>SENATOR WSS STEAM, FLU, 51690</v>
      </c>
      <c r="E7" t="s">
        <v>1</v>
      </c>
      <c r="F7" t="s">
        <v>2</v>
      </c>
      <c r="G7" t="s">
        <v>139</v>
      </c>
      <c r="H7">
        <v>51690</v>
      </c>
      <c r="I7">
        <f>VLOOKUP(C7,[1]Sheet1!$A$363:$E$1218,5,0)</f>
        <v>51690</v>
      </c>
      <c r="J7" s="2">
        <f t="shared" si="0"/>
        <v>45487.199999999997</v>
      </c>
      <c r="K7" s="2" t="str">
        <f>VLOOKUP(B7,'[2]WM-FLM'!$B$2:$AO$65,40,0)</f>
        <v>A+</v>
      </c>
      <c r="L7" t="s">
        <v>73</v>
      </c>
      <c r="M7">
        <v>8</v>
      </c>
      <c r="N7">
        <v>1400</v>
      </c>
      <c r="O7">
        <v>75</v>
      </c>
      <c r="P7">
        <v>5</v>
      </c>
      <c r="Q7">
        <v>8.9</v>
      </c>
      <c r="R7">
        <v>8.8999999999999996E-2</v>
      </c>
      <c r="S7" t="s">
        <v>81</v>
      </c>
      <c r="T7" t="s">
        <v>83</v>
      </c>
      <c r="U7" t="s">
        <v>97</v>
      </c>
      <c r="V7" t="s">
        <v>98</v>
      </c>
      <c r="X7" t="s">
        <v>100</v>
      </c>
      <c r="Y7" t="s">
        <v>126</v>
      </c>
      <c r="AE7" t="s">
        <v>105</v>
      </c>
      <c r="AF7" t="s">
        <v>106</v>
      </c>
      <c r="AG7" t="s">
        <v>107</v>
      </c>
      <c r="AH7" t="s">
        <v>108</v>
      </c>
      <c r="AI7" t="s">
        <v>109</v>
      </c>
      <c r="AJ7" t="s">
        <v>115</v>
      </c>
      <c r="AK7" t="s">
        <v>116</v>
      </c>
      <c r="AM7" t="s">
        <v>119</v>
      </c>
      <c r="AO7" t="s">
        <v>123</v>
      </c>
    </row>
    <row r="8" spans="1:41" x14ac:dyDescent="0.25">
      <c r="A8">
        <v>7</v>
      </c>
      <c r="B8" s="1" t="s">
        <v>8</v>
      </c>
      <c r="C8" s="6">
        <v>8903287025433</v>
      </c>
      <c r="D8" s="7" t="str">
        <f>VLOOKUP(C8,[1]Sheet1!$A$2:$E$1223,2,0)&amp;", "&amp;VLOOKUP(C8,[1]Sheet1!$A$2:$E$1223,3,0)&amp;", "&amp;VLOOKUP(C8,[1]Sheet1!$A$2:$E$1223,5,0)</f>
        <v>SENORITA SXS 6510, FLU, 40490</v>
      </c>
      <c r="E8" t="s">
        <v>1</v>
      </c>
      <c r="F8" t="s">
        <v>2</v>
      </c>
      <c r="G8" t="s">
        <v>140</v>
      </c>
      <c r="H8">
        <v>40490</v>
      </c>
      <c r="I8">
        <f>VLOOKUP(C8,[1]Sheet1!$A$363:$E$1218,5,0)</f>
        <v>40490</v>
      </c>
      <c r="J8" s="2">
        <f t="shared" si="0"/>
        <v>35631.199999999997</v>
      </c>
      <c r="K8" s="2" t="str">
        <f>VLOOKUP(B8,'[2]WM-FLM'!$B$2:$AO$65,40,0)</f>
        <v>C</v>
      </c>
      <c r="L8" t="s">
        <v>73</v>
      </c>
      <c r="M8">
        <v>6.5</v>
      </c>
      <c r="N8">
        <v>1000</v>
      </c>
      <c r="O8">
        <v>65</v>
      </c>
      <c r="P8">
        <v>5</v>
      </c>
      <c r="Q8">
        <v>8.9</v>
      </c>
      <c r="R8">
        <v>8.8999999999999996E-2</v>
      </c>
      <c r="S8" t="s">
        <v>81</v>
      </c>
      <c r="T8" t="s">
        <v>83</v>
      </c>
      <c r="U8" t="s">
        <v>97</v>
      </c>
      <c r="V8" t="s">
        <v>98</v>
      </c>
      <c r="X8" t="s">
        <v>100</v>
      </c>
      <c r="Y8" t="s">
        <v>101</v>
      </c>
      <c r="AE8" t="s">
        <v>105</v>
      </c>
      <c r="AF8" t="s">
        <v>106</v>
      </c>
      <c r="AG8" t="s">
        <v>107</v>
      </c>
      <c r="AH8" t="s">
        <v>108</v>
      </c>
      <c r="AI8" t="s">
        <v>109</v>
      </c>
      <c r="AJ8" t="s">
        <v>115</v>
      </c>
      <c r="AK8" t="s">
        <v>116</v>
      </c>
      <c r="AO8" t="s">
        <v>123</v>
      </c>
    </row>
    <row r="9" spans="1:41" x14ac:dyDescent="0.25">
      <c r="A9">
        <v>8</v>
      </c>
      <c r="B9" s="1" t="s">
        <v>9</v>
      </c>
      <c r="C9" s="6">
        <v>8903287025426</v>
      </c>
      <c r="D9" s="7" t="str">
        <f>VLOOKUP(C9,[1]Sheet1!$A$2:$E$1223,2,0)&amp;", "&amp;VLOOKUP(C9,[1]Sheet1!$A$2:$E$1223,3,0)&amp;", "&amp;VLOOKUP(C9,[1]Sheet1!$A$2:$E$1223,5,0)</f>
        <v>SENORITA VXS 6510, FLU, 38990</v>
      </c>
      <c r="E9" t="s">
        <v>1</v>
      </c>
      <c r="F9" t="s">
        <v>2</v>
      </c>
      <c r="G9" t="s">
        <v>141</v>
      </c>
      <c r="H9">
        <v>38990</v>
      </c>
      <c r="I9">
        <f>VLOOKUP(C9,[1]Sheet1!$A$363:$E$1218,5,0)</f>
        <v>38990</v>
      </c>
      <c r="J9" s="2">
        <f t="shared" si="0"/>
        <v>34311.199999999997</v>
      </c>
      <c r="K9" s="2" t="str">
        <f>VLOOKUP(B9,'[2]WM-FLM'!$B$2:$AO$65,40,0)</f>
        <v>C</v>
      </c>
      <c r="L9" t="s">
        <v>73</v>
      </c>
      <c r="M9">
        <v>6.5</v>
      </c>
      <c r="N9">
        <v>1000</v>
      </c>
      <c r="O9">
        <v>65</v>
      </c>
      <c r="P9">
        <v>5</v>
      </c>
      <c r="Q9">
        <v>8.9</v>
      </c>
      <c r="R9">
        <v>8.8999999999999996E-2</v>
      </c>
      <c r="S9" t="s">
        <v>127</v>
      </c>
      <c r="T9" t="s">
        <v>83</v>
      </c>
      <c r="U9" t="s">
        <v>97</v>
      </c>
      <c r="V9" t="s">
        <v>98</v>
      </c>
      <c r="X9" t="s">
        <v>100</v>
      </c>
      <c r="Y9" t="s">
        <v>101</v>
      </c>
      <c r="AE9" t="s">
        <v>105</v>
      </c>
      <c r="AF9" t="s">
        <v>106</v>
      </c>
      <c r="AG9" t="s">
        <v>107</v>
      </c>
      <c r="AH9" t="s">
        <v>108</v>
      </c>
      <c r="AI9" t="s">
        <v>109</v>
      </c>
      <c r="AJ9" t="s">
        <v>115</v>
      </c>
      <c r="AK9" t="s">
        <v>116</v>
      </c>
      <c r="AM9" t="s">
        <v>119</v>
      </c>
      <c r="AO9" t="s">
        <v>123</v>
      </c>
    </row>
    <row r="10" spans="1:41" x14ac:dyDescent="0.25">
      <c r="A10">
        <v>9</v>
      </c>
      <c r="B10" s="1" t="s">
        <v>10</v>
      </c>
      <c r="C10" s="6">
        <v>8903287025655</v>
      </c>
      <c r="D10" s="7" t="str">
        <f>VLOOKUP(C10,[1]Sheet1!$A$2:$E$1223,2,0)&amp;", "&amp;VLOOKUP(C10,[1]Sheet1!$A$2:$E$1223,3,0)&amp;", "&amp;VLOOKUP(C10,[1]Sheet1!$A$2:$E$1223,5,0)</f>
        <v>SERENA ZSS 7010, FLU, 44490</v>
      </c>
      <c r="E10" t="s">
        <v>1</v>
      </c>
      <c r="F10" t="s">
        <v>2</v>
      </c>
      <c r="G10" t="s">
        <v>142</v>
      </c>
      <c r="H10">
        <v>44490</v>
      </c>
      <c r="I10">
        <f>VLOOKUP(C10,[1]Sheet1!$A$363:$E$1218,5,0)</f>
        <v>44490</v>
      </c>
      <c r="J10" s="2">
        <f t="shared" si="0"/>
        <v>39151.199999999997</v>
      </c>
      <c r="K10" s="2" t="str">
        <f>VLOOKUP(B10,'[2]WM-FLM'!$B$2:$AO$65,40,0)</f>
        <v>B</v>
      </c>
      <c r="L10" t="s">
        <v>73</v>
      </c>
      <c r="M10">
        <v>7</v>
      </c>
      <c r="N10">
        <v>1000</v>
      </c>
      <c r="O10">
        <v>71</v>
      </c>
      <c r="P10">
        <v>5</v>
      </c>
      <c r="Q10">
        <v>8.9</v>
      </c>
      <c r="R10">
        <v>8.8999999999999996E-2</v>
      </c>
      <c r="S10" t="s">
        <v>81</v>
      </c>
      <c r="T10" t="s">
        <v>83</v>
      </c>
      <c r="U10" t="s">
        <v>97</v>
      </c>
      <c r="V10" t="s">
        <v>98</v>
      </c>
      <c r="X10" t="s">
        <v>100</v>
      </c>
      <c r="Y10" t="s">
        <v>101</v>
      </c>
      <c r="AE10" t="s">
        <v>105</v>
      </c>
      <c r="AF10" t="s">
        <v>106</v>
      </c>
      <c r="AG10" t="s">
        <v>107</v>
      </c>
      <c r="AH10" t="s">
        <v>108</v>
      </c>
      <c r="AI10" t="s">
        <v>109</v>
      </c>
      <c r="AO10" t="s">
        <v>123</v>
      </c>
    </row>
    <row r="11" spans="1:41" x14ac:dyDescent="0.25">
      <c r="A11">
        <v>10</v>
      </c>
      <c r="B11" s="1" t="s">
        <v>11</v>
      </c>
      <c r="C11" s="6">
        <v>8903287025716</v>
      </c>
      <c r="D11" s="7" t="str">
        <f>VLOOKUP(C11,[1]Sheet1!$A$2:$E$1223,2,0)&amp;", "&amp;VLOOKUP(C11,[1]Sheet1!$A$2:$E$1223,3,0)&amp;", "&amp;VLOOKUP(C11,[1]Sheet1!$A$2:$E$1223,5,0)</f>
        <v>ELENA ZSS 6510, FLU, 42290</v>
      </c>
      <c r="E11" t="s">
        <v>1</v>
      </c>
      <c r="F11" t="s">
        <v>2</v>
      </c>
      <c r="G11" t="s">
        <v>143</v>
      </c>
      <c r="H11">
        <v>42290</v>
      </c>
      <c r="I11">
        <f>VLOOKUP(C11,[1]Sheet1!$A$363:$E$1218,5,0)</f>
        <v>42290</v>
      </c>
      <c r="J11" s="2">
        <f t="shared" si="0"/>
        <v>37215.199999999997</v>
      </c>
      <c r="K11" s="2" t="str">
        <f>VLOOKUP(B11,'[2]WM-FLM'!$B$2:$AO$65,40,0)</f>
        <v>B</v>
      </c>
      <c r="L11" t="s">
        <v>73</v>
      </c>
      <c r="M11">
        <v>6.5</v>
      </c>
      <c r="N11">
        <v>1000</v>
      </c>
      <c r="O11">
        <v>65</v>
      </c>
      <c r="P11">
        <v>5</v>
      </c>
      <c r="Q11">
        <v>8.9</v>
      </c>
      <c r="R11">
        <v>8.8999999999999996E-2</v>
      </c>
      <c r="S11" t="s">
        <v>81</v>
      </c>
      <c r="T11" t="s">
        <v>83</v>
      </c>
      <c r="U11" t="s">
        <v>97</v>
      </c>
      <c r="V11" t="s">
        <v>98</v>
      </c>
      <c r="X11" t="s">
        <v>100</v>
      </c>
      <c r="Y11" t="s">
        <v>101</v>
      </c>
      <c r="AE11" t="s">
        <v>105</v>
      </c>
      <c r="AF11" t="s">
        <v>106</v>
      </c>
      <c r="AG11" t="s">
        <v>107</v>
      </c>
      <c r="AH11" t="s">
        <v>108</v>
      </c>
      <c r="AI11" t="s">
        <v>109</v>
      </c>
      <c r="AJ11" t="s">
        <v>115</v>
      </c>
      <c r="AK11" t="s">
        <v>116</v>
      </c>
      <c r="AM11" t="s">
        <v>119</v>
      </c>
      <c r="AO11" t="s">
        <v>123</v>
      </c>
    </row>
    <row r="12" spans="1:41" x14ac:dyDescent="0.25">
      <c r="A12">
        <v>11</v>
      </c>
      <c r="B12" s="1" t="s">
        <v>12</v>
      </c>
      <c r="C12" s="6">
        <v>8903287026249</v>
      </c>
      <c r="D12" s="7" t="str">
        <f>VLOOKUP(C12,[1]Sheet1!$A$2:$E$1223,2,0)&amp;", "&amp;VLOOKUP(C12,[1]Sheet1!$A$2:$E$1223,3,0)&amp;", "&amp;VLOOKUP(C12,[1]Sheet1!$A$2:$E$1223,5,0)</f>
        <v>DIVA AQUA VSS 7010, FLU, 37990</v>
      </c>
      <c r="E12" t="s">
        <v>1</v>
      </c>
      <c r="F12" t="s">
        <v>2</v>
      </c>
      <c r="G12" t="s">
        <v>144</v>
      </c>
      <c r="H12">
        <v>37990</v>
      </c>
      <c r="I12">
        <f>VLOOKUP(C12,[1]Sheet1!$A$363:$E$1218,5,0)</f>
        <v>37990</v>
      </c>
      <c r="J12" s="2">
        <f t="shared" si="0"/>
        <v>33431.199999999997</v>
      </c>
      <c r="K12" s="2" t="str">
        <f>VLOOKUP(B12,'[2]WM-FLM'!$B$2:$AO$65,40,0)</f>
        <v>C</v>
      </c>
      <c r="L12" t="s">
        <v>73</v>
      </c>
      <c r="M12">
        <v>7</v>
      </c>
      <c r="N12">
        <v>1000</v>
      </c>
      <c r="O12">
        <v>65</v>
      </c>
      <c r="P12">
        <v>5</v>
      </c>
      <c r="Q12">
        <v>8.9</v>
      </c>
      <c r="R12">
        <v>8.8999999999999996E-2</v>
      </c>
      <c r="S12" t="s">
        <v>127</v>
      </c>
      <c r="T12" t="s">
        <v>83</v>
      </c>
      <c r="U12" t="s">
        <v>97</v>
      </c>
      <c r="V12" t="s">
        <v>98</v>
      </c>
      <c r="X12" t="s">
        <v>100</v>
      </c>
      <c r="Y12" t="s">
        <v>128</v>
      </c>
      <c r="AE12" t="s">
        <v>105</v>
      </c>
      <c r="AF12" t="s">
        <v>106</v>
      </c>
      <c r="AG12" t="s">
        <v>107</v>
      </c>
      <c r="AH12" t="s">
        <v>108</v>
      </c>
      <c r="AI12" t="s">
        <v>109</v>
      </c>
      <c r="AJ12" t="s">
        <v>115</v>
      </c>
      <c r="AO12" t="s">
        <v>123</v>
      </c>
    </row>
    <row r="13" spans="1:41" x14ac:dyDescent="0.25">
      <c r="A13">
        <v>12</v>
      </c>
      <c r="B13" s="1" t="s">
        <v>13</v>
      </c>
      <c r="C13" s="6">
        <v>8903287026324</v>
      </c>
      <c r="D13" s="7" t="str">
        <f>VLOOKUP(C13,[1]Sheet1!$A$2:$E$1223,2,0)&amp;", "&amp;VLOOKUP(C13,[1]Sheet1!$A$2:$E$1223,3,0)&amp;", "&amp;VLOOKUP(C13,[1]Sheet1!$A$2:$E$1223,5,0)</f>
        <v>EXECUTIVE MSS ID 9014, FLU, 54690</v>
      </c>
      <c r="E13" t="s">
        <v>1</v>
      </c>
      <c r="F13" t="s">
        <v>2</v>
      </c>
      <c r="G13" t="s">
        <v>145</v>
      </c>
      <c r="H13">
        <v>54690</v>
      </c>
      <c r="I13">
        <f>VLOOKUP(C13,[1]Sheet1!$A$363:$E$1218,5,0)</f>
        <v>54690</v>
      </c>
      <c r="J13" s="2">
        <f t="shared" si="0"/>
        <v>48127.199999999997</v>
      </c>
      <c r="K13" s="2" t="str">
        <f>VLOOKUP(B13,'[2]WM-FLM'!$B$2:$AO$65,40,0)</f>
        <v>A+</v>
      </c>
      <c r="L13" t="s">
        <v>73</v>
      </c>
      <c r="M13">
        <v>9</v>
      </c>
      <c r="N13">
        <v>1400</v>
      </c>
      <c r="O13">
        <v>75</v>
      </c>
      <c r="P13">
        <v>5</v>
      </c>
      <c r="Q13">
        <v>8.9</v>
      </c>
      <c r="R13">
        <v>8.8999999999999996E-2</v>
      </c>
      <c r="S13" t="s">
        <v>81</v>
      </c>
      <c r="T13" t="s">
        <v>83</v>
      </c>
      <c r="U13" t="s">
        <v>97</v>
      </c>
      <c r="V13" t="s">
        <v>98</v>
      </c>
      <c r="W13" t="s">
        <v>99</v>
      </c>
      <c r="X13" t="s">
        <v>100</v>
      </c>
      <c r="Y13" t="s">
        <v>126</v>
      </c>
      <c r="AA13" t="s">
        <v>102</v>
      </c>
      <c r="AE13" t="s">
        <v>105</v>
      </c>
      <c r="AF13" t="s">
        <v>106</v>
      </c>
      <c r="AG13" t="s">
        <v>107</v>
      </c>
      <c r="AH13" t="s">
        <v>108</v>
      </c>
      <c r="AI13" t="s">
        <v>109</v>
      </c>
    </row>
    <row r="14" spans="1:41" x14ac:dyDescent="0.25">
      <c r="A14">
        <v>13</v>
      </c>
      <c r="B14" s="1" t="s">
        <v>14</v>
      </c>
      <c r="C14" s="6">
        <v>8903287025419</v>
      </c>
      <c r="D14" s="7" t="str">
        <f>VLOOKUP(C14,[1]Sheet1!$A$2:$E$1223,2,0)&amp;", "&amp;VLOOKUP(C14,[1]Sheet1!$A$2:$E$1223,3,0)&amp;", "&amp;VLOOKUP(C14,[1]Sheet1!$A$2:$E$1223,5,0)</f>
        <v>SENATOR PLUS SRS 8012, FLU, 48590</v>
      </c>
      <c r="E14" t="s">
        <v>1</v>
      </c>
      <c r="F14" t="s">
        <v>2</v>
      </c>
      <c r="G14" t="s">
        <v>146</v>
      </c>
      <c r="H14">
        <v>48590</v>
      </c>
      <c r="I14">
        <f>VLOOKUP(C14,[1]Sheet1!$A$363:$E$1218,5,0)</f>
        <v>48590</v>
      </c>
      <c r="J14" s="2">
        <f t="shared" si="0"/>
        <v>42759.199999999997</v>
      </c>
      <c r="K14" s="2" t="str">
        <f>VLOOKUP(B14,'[2]WM-FLM'!$B$2:$AO$65,40,0)</f>
        <v>A</v>
      </c>
      <c r="L14" t="s">
        <v>73</v>
      </c>
      <c r="M14">
        <v>8</v>
      </c>
      <c r="N14">
        <v>1200</v>
      </c>
      <c r="O14">
        <v>75</v>
      </c>
      <c r="P14">
        <v>5</v>
      </c>
      <c r="Q14">
        <v>8.9</v>
      </c>
      <c r="R14">
        <v>8.8999999999999996E-2</v>
      </c>
      <c r="S14" t="s">
        <v>81</v>
      </c>
      <c r="T14" t="s">
        <v>83</v>
      </c>
      <c r="U14" t="s">
        <v>97</v>
      </c>
      <c r="V14" t="s">
        <v>98</v>
      </c>
      <c r="X14" t="s">
        <v>100</v>
      </c>
      <c r="Y14" t="s">
        <v>101</v>
      </c>
      <c r="AE14" t="s">
        <v>105</v>
      </c>
      <c r="AF14" t="s">
        <v>106</v>
      </c>
      <c r="AG14" t="s">
        <v>107</v>
      </c>
      <c r="AH14" t="s">
        <v>108</v>
      </c>
      <c r="AI14" t="s">
        <v>109</v>
      </c>
      <c r="AJ14" t="s">
        <v>115</v>
      </c>
      <c r="AK14" t="s">
        <v>116</v>
      </c>
      <c r="AM14" t="s">
        <v>119</v>
      </c>
      <c r="AO14" t="s">
        <v>123</v>
      </c>
    </row>
    <row r="15" spans="1:41" x14ac:dyDescent="0.25">
      <c r="A15">
        <v>14</v>
      </c>
      <c r="B15" s="1" t="s">
        <v>15</v>
      </c>
      <c r="C15" s="6">
        <v>8903287025570</v>
      </c>
      <c r="D15" s="7" t="str">
        <f>VLOOKUP(C15,[1]Sheet1!$A$2:$E$1223,2,0)&amp;", "&amp;VLOOKUP(C15,[1]Sheet1!$A$2:$E$1223,3,0)&amp;", "&amp;VLOOKUP(C15,[1]Sheet1!$A$2:$E$1223,5,0)</f>
        <v>SENATOR MXS 8012, FLU, 49990</v>
      </c>
      <c r="E15" t="s">
        <v>1</v>
      </c>
      <c r="F15" t="s">
        <v>2</v>
      </c>
      <c r="G15" t="s">
        <v>147</v>
      </c>
      <c r="H15">
        <v>49990</v>
      </c>
      <c r="I15">
        <f>VLOOKUP(C15,[1]Sheet1!$A$363:$E$1218,5,0)</f>
        <v>49990</v>
      </c>
      <c r="J15" s="2">
        <f t="shared" si="0"/>
        <v>43991.199999999997</v>
      </c>
      <c r="K15" s="2" t="str">
        <f>VLOOKUP(B15,'[2]WM-FLM'!$B$2:$AO$65,40,0)</f>
        <v>A</v>
      </c>
      <c r="L15" t="s">
        <v>73</v>
      </c>
      <c r="M15">
        <v>8</v>
      </c>
      <c r="N15">
        <v>1200</v>
      </c>
      <c r="O15">
        <v>75</v>
      </c>
      <c r="P15">
        <v>5</v>
      </c>
      <c r="Q15">
        <v>8.9</v>
      </c>
      <c r="R15">
        <v>8.8999999999999996E-2</v>
      </c>
      <c r="S15" t="s">
        <v>124</v>
      </c>
      <c r="T15" t="s">
        <v>83</v>
      </c>
      <c r="U15" t="s">
        <v>97</v>
      </c>
      <c r="V15" t="s">
        <v>98</v>
      </c>
      <c r="X15" t="s">
        <v>100</v>
      </c>
      <c r="Y15" t="s">
        <v>101</v>
      </c>
      <c r="AE15" t="s">
        <v>105</v>
      </c>
      <c r="AF15" t="s">
        <v>106</v>
      </c>
      <c r="AG15" t="s">
        <v>107</v>
      </c>
      <c r="AH15" t="s">
        <v>108</v>
      </c>
      <c r="AI15" t="s">
        <v>109</v>
      </c>
      <c r="AJ15" t="s">
        <v>115</v>
      </c>
      <c r="AK15" t="s">
        <v>116</v>
      </c>
      <c r="AM15" t="s">
        <v>119</v>
      </c>
      <c r="AO15" t="s">
        <v>123</v>
      </c>
    </row>
    <row r="16" spans="1:41" x14ac:dyDescent="0.25">
      <c r="A16">
        <v>15</v>
      </c>
      <c r="B16" s="1" t="s">
        <v>16</v>
      </c>
      <c r="C16" s="6">
        <v>8903287025587</v>
      </c>
      <c r="D16" s="7" t="str">
        <f>VLOOKUP(C16,[1]Sheet1!$A$2:$E$1223,2,0)&amp;", "&amp;VLOOKUP(C16,[1]Sheet1!$A$2:$E$1223,3,0)&amp;", "&amp;VLOOKUP(C16,[1]Sheet1!$A$2:$E$1223,5,0)</f>
        <v>SENATOR SXS 8012, FLU, 47990</v>
      </c>
      <c r="E16" t="s">
        <v>1</v>
      </c>
      <c r="F16" t="s">
        <v>2</v>
      </c>
      <c r="G16" t="s">
        <v>148</v>
      </c>
      <c r="H16">
        <v>47990</v>
      </c>
      <c r="I16">
        <f>VLOOKUP(C16,[1]Sheet1!$A$363:$E$1218,5,0)</f>
        <v>47990</v>
      </c>
      <c r="J16" s="2">
        <f t="shared" si="0"/>
        <v>42231.199999999997</v>
      </c>
      <c r="K16" s="2" t="str">
        <f>VLOOKUP(B16,'[2]WM-FLM'!$B$2:$AO$65,40,0)</f>
        <v>B</v>
      </c>
      <c r="L16" t="s">
        <v>73</v>
      </c>
      <c r="M16">
        <v>8</v>
      </c>
      <c r="N16">
        <v>1200</v>
      </c>
      <c r="O16">
        <v>71</v>
      </c>
      <c r="P16">
        <v>5</v>
      </c>
      <c r="Q16">
        <v>8.9</v>
      </c>
      <c r="R16">
        <v>8.8999999999999996E-2</v>
      </c>
      <c r="S16" t="s">
        <v>81</v>
      </c>
      <c r="T16" t="s">
        <v>83</v>
      </c>
      <c r="U16" t="s">
        <v>97</v>
      </c>
      <c r="V16" t="s">
        <v>98</v>
      </c>
      <c r="X16" t="s">
        <v>100</v>
      </c>
      <c r="Y16" t="s">
        <v>101</v>
      </c>
      <c r="AE16" t="s">
        <v>105</v>
      </c>
      <c r="AF16" t="s">
        <v>106</v>
      </c>
      <c r="AG16" t="s">
        <v>107</v>
      </c>
      <c r="AH16" t="s">
        <v>108</v>
      </c>
      <c r="AI16" t="s">
        <v>109</v>
      </c>
      <c r="AJ16" t="s">
        <v>115</v>
      </c>
      <c r="AK16" t="s">
        <v>116</v>
      </c>
      <c r="AM16" t="s">
        <v>119</v>
      </c>
      <c r="AO16" t="s">
        <v>123</v>
      </c>
    </row>
    <row r="17" spans="1:41" x14ac:dyDescent="0.25">
      <c r="A17">
        <v>16</v>
      </c>
      <c r="B17" s="1" t="s">
        <v>17</v>
      </c>
      <c r="C17" s="6">
        <v>8903287025747</v>
      </c>
      <c r="D17" s="7" t="str">
        <f>VLOOKUP(C17,[1]Sheet1!$A$2:$E$1223,2,0)&amp;", "&amp;VLOOKUP(C17,[1]Sheet1!$A$2:$E$1223,3,0)&amp;", "&amp;VLOOKUP(C17,[1]Sheet1!$A$2:$E$1223,5,0)</f>
        <v>NEO DIVA SXS 6010, FLU, 35890</v>
      </c>
      <c r="E17" t="s">
        <v>1</v>
      </c>
      <c r="F17" t="s">
        <v>2</v>
      </c>
      <c r="G17" t="s">
        <v>149</v>
      </c>
      <c r="H17">
        <v>35890</v>
      </c>
      <c r="I17">
        <f>VLOOKUP(C17,[1]Sheet1!$A$363:$E$1218,5,0)</f>
        <v>35890</v>
      </c>
      <c r="J17" s="2">
        <f t="shared" si="0"/>
        <v>31583.200000000001</v>
      </c>
      <c r="K17" s="2" t="str">
        <f>VLOOKUP(B17,'[2]WM-FLM'!$B$2:$AO$65,40,0)</f>
        <v>C</v>
      </c>
      <c r="L17" t="s">
        <v>73</v>
      </c>
      <c r="M17">
        <v>6</v>
      </c>
      <c r="N17">
        <v>1000</v>
      </c>
      <c r="O17">
        <v>65</v>
      </c>
      <c r="P17">
        <v>5</v>
      </c>
      <c r="Q17">
        <v>8.9</v>
      </c>
      <c r="R17">
        <v>8.8999999999999996E-2</v>
      </c>
      <c r="T17" t="s">
        <v>83</v>
      </c>
      <c r="U17" t="s">
        <v>97</v>
      </c>
      <c r="V17" t="s">
        <v>98</v>
      </c>
      <c r="X17" t="s">
        <v>100</v>
      </c>
      <c r="Y17" t="s">
        <v>128</v>
      </c>
      <c r="AE17" t="s">
        <v>105</v>
      </c>
      <c r="AF17" t="s">
        <v>106</v>
      </c>
      <c r="AG17" t="s">
        <v>107</v>
      </c>
      <c r="AH17" t="s">
        <v>108</v>
      </c>
      <c r="AI17" t="s">
        <v>109</v>
      </c>
      <c r="AJ17" t="s">
        <v>115</v>
      </c>
      <c r="AO17" t="s">
        <v>123</v>
      </c>
    </row>
    <row r="18" spans="1:41" x14ac:dyDescent="0.25">
      <c r="A18">
        <v>17</v>
      </c>
      <c r="B18" s="1" t="s">
        <v>18</v>
      </c>
      <c r="C18" s="6">
        <v>8903287026065</v>
      </c>
      <c r="D18" s="7" t="str">
        <f>VLOOKUP(C18,[1]Sheet1!$A$2:$E$1223,2,0)&amp;", "&amp;VLOOKUP(C18,[1]Sheet1!$A$2:$E$1223,3,0)&amp;", "&amp;VLOOKUP(C18,[1]Sheet1!$A$2:$E$1223,5,0)</f>
        <v>ELITE ZSS 7012, FLU, 45690</v>
      </c>
      <c r="E18" t="s">
        <v>1</v>
      </c>
      <c r="F18" t="s">
        <v>2</v>
      </c>
      <c r="G18" t="s">
        <v>150</v>
      </c>
      <c r="H18">
        <v>45690</v>
      </c>
      <c r="I18">
        <f>VLOOKUP(C18,[1]Sheet1!$A$363:$E$1218,5,0)</f>
        <v>45690</v>
      </c>
      <c r="J18" s="2">
        <f t="shared" si="0"/>
        <v>40207.199999999997</v>
      </c>
      <c r="K18" s="2" t="str">
        <f>VLOOKUP(B18,'[2]WM-FLM'!$B$2:$AO$65,40,0)</f>
        <v>B</v>
      </c>
      <c r="L18" t="s">
        <v>73</v>
      </c>
      <c r="M18">
        <v>7</v>
      </c>
      <c r="N18">
        <v>1200</v>
      </c>
      <c r="O18">
        <v>71</v>
      </c>
      <c r="S18" t="s">
        <v>81</v>
      </c>
      <c r="T18" t="s">
        <v>83</v>
      </c>
      <c r="U18" t="s">
        <v>97</v>
      </c>
      <c r="V18" t="s">
        <v>98</v>
      </c>
      <c r="X18" t="s">
        <v>100</v>
      </c>
      <c r="Y18" t="s">
        <v>101</v>
      </c>
      <c r="AE18" t="s">
        <v>105</v>
      </c>
      <c r="AF18" t="s">
        <v>106</v>
      </c>
      <c r="AG18" t="s">
        <v>107</v>
      </c>
      <c r="AH18" t="s">
        <v>108</v>
      </c>
      <c r="AI18" t="s">
        <v>109</v>
      </c>
      <c r="AJ18" t="s">
        <v>115</v>
      </c>
      <c r="AK18" t="s">
        <v>116</v>
      </c>
      <c r="AM18" t="s">
        <v>119</v>
      </c>
      <c r="AO18" t="s">
        <v>123</v>
      </c>
    </row>
    <row r="19" spans="1:41" x14ac:dyDescent="0.25">
      <c r="A19">
        <v>18</v>
      </c>
      <c r="B19" s="1" t="s">
        <v>19</v>
      </c>
      <c r="C19" s="6">
        <v>8903287026409</v>
      </c>
      <c r="D19" s="7" t="str">
        <f>VLOOKUP(C19,[1]Sheet1!$A$2:$E$1223,2,0)&amp;", "&amp;VLOOKUP(C19,[1]Sheet1!$A$2:$E$1223,3,0)&amp;", "&amp;VLOOKUP(C19,[1]Sheet1!$A$2:$E$1223,5,0)</f>
        <v>SENATOR MXS 8014, FLU, 52990</v>
      </c>
      <c r="E19" t="s">
        <v>1</v>
      </c>
      <c r="F19" t="s">
        <v>2</v>
      </c>
      <c r="G19" t="s">
        <v>151</v>
      </c>
      <c r="H19">
        <v>52990</v>
      </c>
      <c r="I19">
        <f>VLOOKUP(C19,[1]Sheet1!$A$363:$E$1218,5,0)</f>
        <v>52990</v>
      </c>
      <c r="J19" s="2">
        <f t="shared" si="0"/>
        <v>46631.199999999997</v>
      </c>
      <c r="K19" s="2" t="str">
        <f>VLOOKUP(B19,'[2]WM-FLM'!$B$2:$AO$65,40,0)</f>
        <v>A+</v>
      </c>
      <c r="L19" t="s">
        <v>73</v>
      </c>
      <c r="M19">
        <v>8</v>
      </c>
      <c r="N19">
        <v>1400</v>
      </c>
      <c r="O19">
        <v>75</v>
      </c>
      <c r="P19">
        <v>5</v>
      </c>
      <c r="Q19">
        <v>8.9</v>
      </c>
      <c r="R19">
        <v>8.8999999999999996E-2</v>
      </c>
      <c r="S19" t="s">
        <v>124</v>
      </c>
      <c r="T19" t="s">
        <v>83</v>
      </c>
      <c r="U19" t="s">
        <v>97</v>
      </c>
      <c r="V19" t="s">
        <v>98</v>
      </c>
      <c r="X19" t="s">
        <v>100</v>
      </c>
      <c r="Y19" t="s">
        <v>126</v>
      </c>
      <c r="AE19" t="s">
        <v>105</v>
      </c>
      <c r="AF19" t="s">
        <v>106</v>
      </c>
      <c r="AG19" t="s">
        <v>107</v>
      </c>
      <c r="AH19" t="s">
        <v>108</v>
      </c>
      <c r="AI19" t="s">
        <v>109</v>
      </c>
      <c r="AJ19" t="s">
        <v>115</v>
      </c>
      <c r="AK19" t="s">
        <v>116</v>
      </c>
      <c r="AM19" t="s">
        <v>119</v>
      </c>
      <c r="AO19" t="s">
        <v>123</v>
      </c>
    </row>
    <row r="20" spans="1:41" x14ac:dyDescent="0.25">
      <c r="A20">
        <v>19</v>
      </c>
      <c r="B20" s="1" t="s">
        <v>20</v>
      </c>
      <c r="C20" s="6">
        <v>8903287030192</v>
      </c>
      <c r="D20" s="7" t="str">
        <f>VLOOKUP(C20,[1]Sheet1!$A$2:$E$1223,2,0)&amp;", "&amp;VLOOKUP(C20,[1]Sheet1!$A$2:$E$1223,3,0)&amp;", "&amp;VLOOKUP(C20,[1]Sheet1!$A$2:$E$1223,5,0)</f>
        <v>SENATOR ZMS 8012, FLU, 47990</v>
      </c>
      <c r="E20" t="s">
        <v>1</v>
      </c>
      <c r="F20" t="s">
        <v>2</v>
      </c>
      <c r="G20" t="s">
        <v>152</v>
      </c>
      <c r="H20">
        <v>47990</v>
      </c>
      <c r="I20">
        <f>VLOOKUP(C20,[1]Sheet1!$A$363:$E$1218,5,0)</f>
        <v>47990</v>
      </c>
      <c r="J20" s="2">
        <f t="shared" si="0"/>
        <v>42231.199999999997</v>
      </c>
      <c r="K20" s="2" t="str">
        <f>VLOOKUP(B20,'[2]WM-FLM'!$B$2:$AO$65,40,0)</f>
        <v>B</v>
      </c>
      <c r="L20" t="s">
        <v>73</v>
      </c>
      <c r="M20">
        <v>8</v>
      </c>
      <c r="N20">
        <v>1200</v>
      </c>
      <c r="O20">
        <v>75</v>
      </c>
      <c r="P20">
        <v>5</v>
      </c>
      <c r="Q20">
        <v>8.9</v>
      </c>
      <c r="R20">
        <v>8.8999999999999996E-2</v>
      </c>
      <c r="S20" t="s">
        <v>81</v>
      </c>
      <c r="T20" t="s">
        <v>83</v>
      </c>
      <c r="U20" t="s">
        <v>97</v>
      </c>
      <c r="V20" t="s">
        <v>98</v>
      </c>
      <c r="X20" t="s">
        <v>100</v>
      </c>
      <c r="Y20" t="s">
        <v>101</v>
      </c>
      <c r="AE20" t="s">
        <v>105</v>
      </c>
      <c r="AF20" t="s">
        <v>106</v>
      </c>
      <c r="AG20" t="s">
        <v>107</v>
      </c>
      <c r="AH20" t="s">
        <v>108</v>
      </c>
      <c r="AI20" t="s">
        <v>109</v>
      </c>
      <c r="AJ20" t="s">
        <v>115</v>
      </c>
      <c r="AK20" t="s">
        <v>116</v>
      </c>
      <c r="AM20" t="s">
        <v>119</v>
      </c>
    </row>
    <row r="21" spans="1:41" x14ac:dyDescent="0.25">
      <c r="A21">
        <v>20</v>
      </c>
      <c r="B21" s="1" t="s">
        <v>21</v>
      </c>
      <c r="C21" s="6">
        <v>8903287025600</v>
      </c>
      <c r="D21" s="7" t="str">
        <f>VLOOKUP(C21,[1]Sheet1!$A$2:$E$1223,2,0)&amp;", "&amp;VLOOKUP(C21,[1]Sheet1!$A$2:$E$1223,3,0)&amp;", "&amp;VLOOKUP(C21,[1]Sheet1!$A$2:$E$1223,5,0)</f>
        <v>SENATOR PLUS SXS 8014, FLU, 50690</v>
      </c>
      <c r="E21" t="s">
        <v>1</v>
      </c>
      <c r="F21" t="s">
        <v>2</v>
      </c>
      <c r="G21" t="s">
        <v>153</v>
      </c>
      <c r="H21">
        <v>50690</v>
      </c>
      <c r="I21">
        <f>VLOOKUP(C21,[1]Sheet1!$A$363:$E$1218,5,0)</f>
        <v>50690</v>
      </c>
      <c r="J21" s="2">
        <f t="shared" si="0"/>
        <v>44607.199999999997</v>
      </c>
      <c r="K21" s="2" t="str">
        <f>VLOOKUP(B21,'[2]WM-FLM'!$B$2:$AO$65,40,0)</f>
        <v>A</v>
      </c>
      <c r="L21" t="s">
        <v>73</v>
      </c>
      <c r="M21">
        <v>8</v>
      </c>
      <c r="N21">
        <v>1400</v>
      </c>
      <c r="O21">
        <v>75</v>
      </c>
      <c r="P21">
        <v>5</v>
      </c>
      <c r="Q21">
        <v>8.9</v>
      </c>
      <c r="R21">
        <v>8.8999999999999996E-2</v>
      </c>
      <c r="S21" t="s">
        <v>81</v>
      </c>
      <c r="T21" t="s">
        <v>83</v>
      </c>
      <c r="U21" t="s">
        <v>97</v>
      </c>
      <c r="V21" t="s">
        <v>98</v>
      </c>
      <c r="X21" t="s">
        <v>100</v>
      </c>
      <c r="Y21" t="s">
        <v>126</v>
      </c>
      <c r="AE21" t="s">
        <v>105</v>
      </c>
      <c r="AF21" t="s">
        <v>106</v>
      </c>
      <c r="AG21" t="s">
        <v>107</v>
      </c>
      <c r="AH21" t="s">
        <v>108</v>
      </c>
      <c r="AI21" t="s">
        <v>109</v>
      </c>
      <c r="AJ21" t="s">
        <v>115</v>
      </c>
      <c r="AK21" t="s">
        <v>116</v>
      </c>
      <c r="AM21" t="s">
        <v>119</v>
      </c>
      <c r="AO21" t="s">
        <v>123</v>
      </c>
    </row>
    <row r="22" spans="1:41" x14ac:dyDescent="0.25">
      <c r="A22">
        <v>21</v>
      </c>
      <c r="B22" s="1" t="s">
        <v>22</v>
      </c>
      <c r="C22" s="6">
        <v>8903287026195</v>
      </c>
      <c r="D22" s="7" t="str">
        <f>VLOOKUP(C22,[1]Sheet1!$A$2:$E$1223,2,0)&amp;", "&amp;VLOOKUP(C22,[1]Sheet1!$A$2:$E$1223,3,0)&amp;", "&amp;VLOOKUP(C22,[1]Sheet1!$A$2:$E$1223,5,0)</f>
        <v>SENATOR PLUS MXS 8KG, FLU, 53990</v>
      </c>
      <c r="E22" t="s">
        <v>1</v>
      </c>
      <c r="F22" t="s">
        <v>2</v>
      </c>
      <c r="G22" t="s">
        <v>154</v>
      </c>
      <c r="H22">
        <v>53990</v>
      </c>
      <c r="I22">
        <f>VLOOKUP(C22,[1]Sheet1!$A$363:$E$1218,5,0)</f>
        <v>53990</v>
      </c>
      <c r="J22" s="2">
        <f t="shared" si="0"/>
        <v>47511.199999999997</v>
      </c>
      <c r="K22" s="2" t="str">
        <f>VLOOKUP(B22,'[2]WM-FLM'!$B$2:$AO$65,40,0)</f>
        <v>A+</v>
      </c>
      <c r="L22" t="s">
        <v>73</v>
      </c>
      <c r="M22">
        <v>8</v>
      </c>
      <c r="N22">
        <v>1400</v>
      </c>
      <c r="O22">
        <v>75</v>
      </c>
      <c r="P22">
        <v>5</v>
      </c>
      <c r="Q22">
        <v>8.9</v>
      </c>
      <c r="R22">
        <v>8.8999999999999996E-2</v>
      </c>
      <c r="S22" t="s">
        <v>124</v>
      </c>
      <c r="T22" t="s">
        <v>83</v>
      </c>
      <c r="U22" t="s">
        <v>97</v>
      </c>
      <c r="V22" t="s">
        <v>98</v>
      </c>
      <c r="X22" t="s">
        <v>100</v>
      </c>
      <c r="Y22" t="s">
        <v>126</v>
      </c>
      <c r="Z22" t="s">
        <v>104</v>
      </c>
      <c r="AE22" t="s">
        <v>105</v>
      </c>
      <c r="AF22" t="s">
        <v>106</v>
      </c>
      <c r="AG22" t="s">
        <v>107</v>
      </c>
      <c r="AH22" t="s">
        <v>108</v>
      </c>
      <c r="AI22" t="s">
        <v>109</v>
      </c>
      <c r="AJ22" t="s">
        <v>115</v>
      </c>
      <c r="AK22" t="s">
        <v>116</v>
      </c>
      <c r="AM22" t="s">
        <v>119</v>
      </c>
      <c r="AO22" t="s">
        <v>123</v>
      </c>
    </row>
    <row r="23" spans="1:41" x14ac:dyDescent="0.25">
      <c r="A23">
        <v>22</v>
      </c>
      <c r="B23" s="1" t="s">
        <v>23</v>
      </c>
      <c r="C23" s="6">
        <v>8903287025624</v>
      </c>
      <c r="D23" s="7" t="str">
        <f>VLOOKUP(C23,[1]Sheet1!$A$2:$E$1223,2,0)&amp;", "&amp;VLOOKUP(C23,[1]Sheet1!$A$2:$E$1223,3,0)&amp;", "&amp;VLOOKUP(C23,[1]Sheet1!$A$2:$E$1223,5,0)</f>
        <v>NEO DIVA SXS 7010, FLU, 42490</v>
      </c>
      <c r="E23" t="s">
        <v>1</v>
      </c>
      <c r="F23" t="s">
        <v>2</v>
      </c>
      <c r="G23" t="s">
        <v>155</v>
      </c>
      <c r="H23">
        <v>42490</v>
      </c>
      <c r="I23">
        <f>VLOOKUP(C23,[1]Sheet1!$A$363:$E$1218,5,0)</f>
        <v>42490</v>
      </c>
      <c r="J23" s="2">
        <f t="shared" si="0"/>
        <v>37391.199999999997</v>
      </c>
      <c r="K23" s="2" t="str">
        <f>VLOOKUP(B23,'[2]WM-FLM'!$B$2:$AO$65,40,0)</f>
        <v>B</v>
      </c>
      <c r="L23" t="s">
        <v>73</v>
      </c>
      <c r="M23">
        <v>7</v>
      </c>
      <c r="N23">
        <v>1000</v>
      </c>
      <c r="O23">
        <v>69</v>
      </c>
      <c r="S23" t="s">
        <v>81</v>
      </c>
      <c r="T23" t="s">
        <v>83</v>
      </c>
      <c r="U23" t="s">
        <v>97</v>
      </c>
      <c r="V23" t="s">
        <v>98</v>
      </c>
      <c r="X23" t="s">
        <v>100</v>
      </c>
      <c r="Y23" t="s">
        <v>101</v>
      </c>
      <c r="AE23" t="s">
        <v>105</v>
      </c>
      <c r="AF23" t="s">
        <v>106</v>
      </c>
      <c r="AG23" t="s">
        <v>107</v>
      </c>
      <c r="AH23" t="s">
        <v>108</v>
      </c>
      <c r="AI23" t="s">
        <v>109</v>
      </c>
    </row>
    <row r="24" spans="1:41" x14ac:dyDescent="0.25">
      <c r="A24">
        <v>23</v>
      </c>
      <c r="B24" s="1" t="s">
        <v>24</v>
      </c>
      <c r="C24" s="6">
        <v>8903287026508</v>
      </c>
      <c r="D24" s="7" t="str">
        <f>VLOOKUP(C24,[1]Sheet1!$A$2:$E$1223,2,0)&amp;", "&amp;VLOOKUP(C24,[1]Sheet1!$A$2:$E$1223,3,0)&amp;", "&amp;VLOOKUP(C24,[1]Sheet1!$A$2:$E$1223,5,0)</f>
        <v>DIVA AQUA BXS 6010, FLU, 31690</v>
      </c>
      <c r="E24" t="s">
        <v>1</v>
      </c>
      <c r="F24" t="s">
        <v>2</v>
      </c>
      <c r="G24" t="s">
        <v>156</v>
      </c>
      <c r="H24">
        <v>31690</v>
      </c>
      <c r="I24">
        <f>VLOOKUP(C24,[1]Sheet1!$A$363:$E$1218,5,0)</f>
        <v>31690</v>
      </c>
      <c r="J24" s="2">
        <f t="shared" si="0"/>
        <v>27887.200000000001</v>
      </c>
      <c r="K24" s="2" t="str">
        <f>VLOOKUP(B24,'[2]WM-FLM'!$B$2:$AO$65,40,0)</f>
        <v>C</v>
      </c>
      <c r="L24" t="s">
        <v>73</v>
      </c>
      <c r="M24">
        <v>6</v>
      </c>
      <c r="N24">
        <v>1000</v>
      </c>
      <c r="O24">
        <v>60</v>
      </c>
      <c r="P24">
        <v>5</v>
      </c>
      <c r="Q24">
        <v>9</v>
      </c>
      <c r="R24">
        <v>8.8999999999999996E-2</v>
      </c>
      <c r="S24" t="s">
        <v>127</v>
      </c>
      <c r="T24" t="s">
        <v>83</v>
      </c>
      <c r="U24" t="s">
        <v>97</v>
      </c>
      <c r="V24" t="s">
        <v>98</v>
      </c>
      <c r="X24" t="s">
        <v>100</v>
      </c>
      <c r="Y24" t="s">
        <v>128</v>
      </c>
      <c r="AE24" t="s">
        <v>105</v>
      </c>
      <c r="AF24" t="s">
        <v>106</v>
      </c>
      <c r="AG24" t="s">
        <v>107</v>
      </c>
      <c r="AH24" t="s">
        <v>108</v>
      </c>
      <c r="AI24" t="s">
        <v>109</v>
      </c>
      <c r="AJ24" t="s">
        <v>115</v>
      </c>
      <c r="AK24" t="s">
        <v>116</v>
      </c>
      <c r="AO24" t="s">
        <v>123</v>
      </c>
    </row>
    <row r="25" spans="1:41" x14ac:dyDescent="0.25">
      <c r="A25">
        <v>24</v>
      </c>
      <c r="B25" s="1" t="s">
        <v>25</v>
      </c>
      <c r="C25" s="6">
        <v>8903287026485</v>
      </c>
      <c r="D25" s="7" t="str">
        <f>VLOOKUP(C25,[1]Sheet1!$A$2:$E$1223,2,0)&amp;", "&amp;VLOOKUP(C25,[1]Sheet1!$A$2:$E$1223,3,0)&amp;", "&amp;VLOOKUP(C25,[1]Sheet1!$A$2:$E$1223,5,0)</f>
        <v>DIVA AQUA SXS 6010, FLU, 32890</v>
      </c>
      <c r="E25" t="s">
        <v>1</v>
      </c>
      <c r="F25" t="s">
        <v>2</v>
      </c>
      <c r="G25" t="s">
        <v>157</v>
      </c>
      <c r="H25">
        <v>32890</v>
      </c>
      <c r="I25">
        <f>VLOOKUP(C25,[1]Sheet1!$A$363:$E$1218,5,0)</f>
        <v>32890</v>
      </c>
      <c r="J25" s="2">
        <f t="shared" si="0"/>
        <v>28943.200000000001</v>
      </c>
      <c r="K25" s="2" t="str">
        <f>VLOOKUP(B25,'[2]WM-FLM'!$B$2:$AO$65,40,0)</f>
        <v>C</v>
      </c>
      <c r="L25" t="s">
        <v>73</v>
      </c>
      <c r="M25">
        <v>6</v>
      </c>
      <c r="N25">
        <v>1000</v>
      </c>
      <c r="O25">
        <v>60</v>
      </c>
      <c r="P25">
        <v>5</v>
      </c>
      <c r="Q25">
        <v>9</v>
      </c>
      <c r="R25">
        <v>8.8999999999999996E-2</v>
      </c>
      <c r="S25" t="s">
        <v>81</v>
      </c>
      <c r="T25" t="s">
        <v>83</v>
      </c>
      <c r="U25" t="s">
        <v>97</v>
      </c>
      <c r="V25" t="s">
        <v>98</v>
      </c>
      <c r="X25" t="s">
        <v>100</v>
      </c>
      <c r="Y25" t="s">
        <v>128</v>
      </c>
      <c r="AE25" t="s">
        <v>105</v>
      </c>
      <c r="AF25" t="s">
        <v>106</v>
      </c>
      <c r="AG25" t="s">
        <v>107</v>
      </c>
      <c r="AH25" t="s">
        <v>108</v>
      </c>
      <c r="AI25" t="s">
        <v>109</v>
      </c>
      <c r="AJ25" t="s">
        <v>115</v>
      </c>
      <c r="AO25" t="s">
        <v>123</v>
      </c>
    </row>
    <row r="26" spans="1:41" x14ac:dyDescent="0.25">
      <c r="A26">
        <v>25</v>
      </c>
      <c r="B26" s="1" t="s">
        <v>26</v>
      </c>
      <c r="C26" s="6">
        <v>8903287025730</v>
      </c>
      <c r="D26" s="7" t="str">
        <f>VLOOKUP(C26,[1]Sheet1!$A$2:$E$1223,2,0)&amp;", "&amp;VLOOKUP(C26,[1]Sheet1!$A$2:$E$1223,3,0)&amp;", "&amp;VLOOKUP(C26,[1]Sheet1!$A$2:$E$1223,5,0)</f>
        <v>NEO DIVA VXS 6010, FLU, 34390</v>
      </c>
      <c r="E26" t="s">
        <v>1</v>
      </c>
      <c r="F26" t="s">
        <v>2</v>
      </c>
      <c r="G26" t="s">
        <v>158</v>
      </c>
      <c r="H26">
        <v>34390</v>
      </c>
      <c r="I26">
        <f>VLOOKUP(C26,[1]Sheet1!$A$363:$E$1218,5,0)</f>
        <v>34390</v>
      </c>
      <c r="J26" s="2">
        <f t="shared" si="0"/>
        <v>30263.200000000001</v>
      </c>
      <c r="K26" s="2" t="str">
        <f>VLOOKUP(B26,'[2]WM-FLM'!$B$2:$AO$65,40,0)</f>
        <v>C</v>
      </c>
      <c r="L26" t="s">
        <v>73</v>
      </c>
      <c r="M26">
        <v>6</v>
      </c>
      <c r="N26">
        <v>1000</v>
      </c>
      <c r="O26">
        <v>65</v>
      </c>
      <c r="P26">
        <v>5</v>
      </c>
      <c r="Q26">
        <v>8.9</v>
      </c>
      <c r="R26">
        <v>8.8999999999999996E-2</v>
      </c>
      <c r="S26" t="s">
        <v>127</v>
      </c>
      <c r="T26" t="s">
        <v>83</v>
      </c>
      <c r="U26" t="s">
        <v>97</v>
      </c>
      <c r="V26" t="s">
        <v>98</v>
      </c>
      <c r="X26" t="s">
        <v>100</v>
      </c>
      <c r="Y26" t="s">
        <v>128</v>
      </c>
      <c r="AE26" t="s">
        <v>105</v>
      </c>
      <c r="AF26" t="s">
        <v>106</v>
      </c>
      <c r="AG26" t="s">
        <v>107</v>
      </c>
      <c r="AH26" t="s">
        <v>108</v>
      </c>
      <c r="AI26" t="s">
        <v>109</v>
      </c>
      <c r="AJ26" t="s">
        <v>115</v>
      </c>
      <c r="AO26" t="s">
        <v>123</v>
      </c>
    </row>
    <row r="27" spans="1:41" x14ac:dyDescent="0.25">
      <c r="A27">
        <v>26</v>
      </c>
      <c r="B27" s="3" t="s">
        <v>27</v>
      </c>
      <c r="C27" s="6">
        <v>8903287023477</v>
      </c>
      <c r="D27" s="7" t="str">
        <f>VLOOKUP(C27,[1]Sheet1!$A$2:$E$1223,2,0)&amp;", "&amp;VLOOKUP(C27,[1]Sheet1!$A$2:$E$1223,3,0)&amp;", "&amp;VLOOKUP(C27,[1]Sheet1!$A$2:$E$1223,5,0)</f>
        <v>EXECUTIVE PLUS VX ID, FLU, 48690</v>
      </c>
      <c r="E27" t="s">
        <v>1</v>
      </c>
      <c r="F27" t="s">
        <v>2</v>
      </c>
      <c r="G27" t="s">
        <v>159</v>
      </c>
      <c r="H27">
        <v>48690</v>
      </c>
      <c r="I27">
        <f>VLOOKUP(C27,[1]Sheet1!$A$363:$E$1218,5,0)</f>
        <v>48690</v>
      </c>
      <c r="J27" s="2">
        <f>H27-(0.04*H27)</f>
        <v>46742.400000000001</v>
      </c>
      <c r="K27" s="2" t="str">
        <f>VLOOKUP(B27,'[2]WM-FLM'!$B$2:$AO$65,40,0)</f>
        <v>A</v>
      </c>
      <c r="L27" t="s">
        <v>73</v>
      </c>
      <c r="M27">
        <v>8.5</v>
      </c>
      <c r="N27">
        <v>1400</v>
      </c>
      <c r="O27">
        <v>75</v>
      </c>
      <c r="P27">
        <v>5</v>
      </c>
      <c r="Q27">
        <v>8.9</v>
      </c>
      <c r="R27">
        <v>0.06</v>
      </c>
      <c r="S27" t="s">
        <v>127</v>
      </c>
      <c r="T27" t="s">
        <v>83</v>
      </c>
      <c r="U27" t="s">
        <v>97</v>
      </c>
    </row>
    <row r="28" spans="1:41" x14ac:dyDescent="0.25">
      <c r="A28">
        <v>27</v>
      </c>
      <c r="B28" s="1" t="s">
        <v>28</v>
      </c>
      <c r="C28" s="6">
        <v>8903287026072</v>
      </c>
      <c r="D28" s="7" t="str">
        <f>VLOOKUP(C28,[1]Sheet1!$A$2:$E$1223,2,0)&amp;", "&amp;VLOOKUP(C28,[1]Sheet1!$A$2:$E$1223,3,0)&amp;", "&amp;VLOOKUP(C28,[1]Sheet1!$A$2:$E$1223,5,0)</f>
        <v>ELENA PLUS SXS 6510, FLU, 37990</v>
      </c>
      <c r="E28" t="s">
        <v>1</v>
      </c>
      <c r="F28" t="s">
        <v>2</v>
      </c>
      <c r="G28" t="s">
        <v>160</v>
      </c>
      <c r="H28">
        <v>37990</v>
      </c>
      <c r="I28">
        <f>VLOOKUP(C28,[1]Sheet1!$A$363:$E$1218,5,0)</f>
        <v>37990</v>
      </c>
      <c r="J28" s="2">
        <f t="shared" ref="J28:J33" si="1">H28-(0.12*H28)</f>
        <v>33431.199999999997</v>
      </c>
      <c r="K28" s="2" t="str">
        <f>VLOOKUP(B28,'[2]WM-FLM'!$B$2:$AO$65,40,0)</f>
        <v>C</v>
      </c>
      <c r="L28" t="s">
        <v>73</v>
      </c>
      <c r="M28">
        <v>6.5</v>
      </c>
      <c r="N28">
        <v>1000</v>
      </c>
      <c r="O28">
        <v>65</v>
      </c>
      <c r="P28">
        <v>5</v>
      </c>
      <c r="Q28">
        <v>8.9</v>
      </c>
      <c r="R28">
        <v>8.8999999999999996E-2</v>
      </c>
      <c r="S28" t="s">
        <v>81</v>
      </c>
      <c r="T28" t="s">
        <v>83</v>
      </c>
      <c r="U28" t="s">
        <v>97</v>
      </c>
      <c r="V28" t="s">
        <v>98</v>
      </c>
      <c r="X28" t="s">
        <v>100</v>
      </c>
      <c r="Y28" t="s">
        <v>128</v>
      </c>
      <c r="AE28" t="s">
        <v>105</v>
      </c>
      <c r="AF28" t="s">
        <v>106</v>
      </c>
      <c r="AG28" t="s">
        <v>107</v>
      </c>
      <c r="AH28" t="s">
        <v>108</v>
      </c>
      <c r="AI28" t="s">
        <v>109</v>
      </c>
      <c r="AJ28" t="s">
        <v>115</v>
      </c>
      <c r="AK28" t="s">
        <v>116</v>
      </c>
      <c r="AO28" t="s">
        <v>123</v>
      </c>
    </row>
    <row r="29" spans="1:41" x14ac:dyDescent="0.25">
      <c r="A29">
        <v>28</v>
      </c>
      <c r="B29" s="1" t="s">
        <v>29</v>
      </c>
      <c r="C29" s="6">
        <v>8903287026232</v>
      </c>
      <c r="D29" s="7" t="str">
        <f>VLOOKUP(C29,[1]Sheet1!$A$2:$E$1223,2,0)&amp;", "&amp;VLOOKUP(C29,[1]Sheet1!$A$2:$E$1223,3,0)&amp;", "&amp;VLOOKUP(C29,[1]Sheet1!$A$2:$E$1223,5,0)</f>
        <v>DIVA AQUA SXS 7010, FLU, 39090</v>
      </c>
      <c r="E29" t="s">
        <v>1</v>
      </c>
      <c r="F29" t="s">
        <v>2</v>
      </c>
      <c r="G29" t="s">
        <v>161</v>
      </c>
      <c r="H29">
        <v>39090</v>
      </c>
      <c r="I29">
        <f>VLOOKUP(C29,[1]Sheet1!$A$363:$E$1218,5,0)</f>
        <v>39090</v>
      </c>
      <c r="J29" s="2">
        <f t="shared" si="1"/>
        <v>34399.199999999997</v>
      </c>
      <c r="K29" s="2" t="str">
        <f>VLOOKUP(B29,'[2]WM-FLM'!$B$2:$AO$65,40,0)</f>
        <v>C</v>
      </c>
      <c r="L29" t="s">
        <v>73</v>
      </c>
      <c r="M29">
        <v>7</v>
      </c>
      <c r="N29">
        <v>1000</v>
      </c>
      <c r="O29">
        <v>65</v>
      </c>
      <c r="P29">
        <v>5</v>
      </c>
      <c r="Q29">
        <v>8.9</v>
      </c>
      <c r="R29">
        <v>8.8999999999999996E-2</v>
      </c>
      <c r="S29" t="s">
        <v>81</v>
      </c>
      <c r="T29" t="s">
        <v>83</v>
      </c>
      <c r="V29" t="s">
        <v>98</v>
      </c>
      <c r="X29" t="s">
        <v>100</v>
      </c>
      <c r="Y29" t="s">
        <v>128</v>
      </c>
      <c r="AE29" t="s">
        <v>105</v>
      </c>
      <c r="AF29" t="s">
        <v>106</v>
      </c>
      <c r="AG29" t="s">
        <v>107</v>
      </c>
      <c r="AH29" t="s">
        <v>108</v>
      </c>
      <c r="AI29" t="s">
        <v>109</v>
      </c>
      <c r="AJ29" t="s">
        <v>115</v>
      </c>
      <c r="AO29" t="s">
        <v>123</v>
      </c>
    </row>
    <row r="30" spans="1:41" x14ac:dyDescent="0.25">
      <c r="A30">
        <v>29</v>
      </c>
      <c r="B30" s="1" t="s">
        <v>30</v>
      </c>
      <c r="C30" s="6">
        <v>8903287026430</v>
      </c>
      <c r="D30" s="7" t="str">
        <f>VLOOKUP(C30,[1]Sheet1!$A$2:$E$1223,2,0)&amp;", "&amp;VLOOKUP(C30,[1]Sheet1!$A$2:$E$1223,3,0)&amp;", "&amp;VLOOKUP(C30,[1]Sheet1!$A$2:$E$1223,5,0)</f>
        <v>EXECUTIVE MXS ID 1014, FLU, 57990</v>
      </c>
      <c r="E30" t="s">
        <v>1</v>
      </c>
      <c r="F30" t="s">
        <v>2</v>
      </c>
      <c r="G30" t="s">
        <v>162</v>
      </c>
      <c r="H30">
        <v>57990</v>
      </c>
      <c r="I30">
        <f>VLOOKUP(C30,[1]Sheet1!$A$363:$E$1218,5,0)</f>
        <v>57990</v>
      </c>
      <c r="J30" s="2">
        <f t="shared" si="1"/>
        <v>51031.199999999997</v>
      </c>
      <c r="K30" s="2" t="str">
        <f>VLOOKUP(B30,'[2]WM-FLM'!$B$2:$AO$65,40,0)</f>
        <v>A++</v>
      </c>
      <c r="L30" t="s">
        <v>73</v>
      </c>
      <c r="M30">
        <v>10</v>
      </c>
      <c r="N30">
        <v>1400</v>
      </c>
      <c r="O30">
        <v>76</v>
      </c>
      <c r="P30">
        <v>5</v>
      </c>
      <c r="Q30">
        <v>8</v>
      </c>
      <c r="R30">
        <v>6.5000000000000002E-2</v>
      </c>
      <c r="S30" t="s">
        <v>124</v>
      </c>
      <c r="T30" t="s">
        <v>83</v>
      </c>
      <c r="U30" t="s">
        <v>97</v>
      </c>
      <c r="V30" t="s">
        <v>98</v>
      </c>
      <c r="W30" t="s">
        <v>99</v>
      </c>
      <c r="X30" t="s">
        <v>100</v>
      </c>
      <c r="Y30" t="s">
        <v>126</v>
      </c>
      <c r="Z30" t="s">
        <v>104</v>
      </c>
      <c r="AD30" t="s">
        <v>130</v>
      </c>
      <c r="AE30" t="s">
        <v>105</v>
      </c>
      <c r="AF30" t="s">
        <v>106</v>
      </c>
      <c r="AG30" t="s">
        <v>107</v>
      </c>
      <c r="AH30" t="s">
        <v>108</v>
      </c>
      <c r="AI30" t="s">
        <v>109</v>
      </c>
      <c r="AJ30" t="s">
        <v>115</v>
      </c>
      <c r="AK30" t="s">
        <v>116</v>
      </c>
      <c r="AM30" t="s">
        <v>119</v>
      </c>
      <c r="AN30" t="s">
        <v>121</v>
      </c>
      <c r="AO30" t="s">
        <v>123</v>
      </c>
    </row>
    <row r="31" spans="1:41" x14ac:dyDescent="0.25">
      <c r="A31">
        <v>30</v>
      </c>
      <c r="B31" s="1" t="s">
        <v>31</v>
      </c>
      <c r="C31" s="6">
        <v>8903287026577</v>
      </c>
      <c r="D31" s="7" t="str">
        <f>VLOOKUP(C31,[1]Sheet1!$A$2:$E$1223,2,0)&amp;", "&amp;VLOOKUP(C31,[1]Sheet1!$A$2:$E$1223,3,0)&amp;", "&amp;VLOOKUP(C31,[1]Sheet1!$A$2:$E$1223,5,0)</f>
        <v>EXECUTIVE PLUS VSC 1014, FLU, 63990</v>
      </c>
      <c r="E31" t="s">
        <v>1</v>
      </c>
      <c r="F31" t="s">
        <v>2</v>
      </c>
      <c r="G31" t="s">
        <v>163</v>
      </c>
      <c r="H31">
        <v>63990</v>
      </c>
      <c r="I31">
        <f>VLOOKUP(C31,[1]Sheet1!$A$363:$E$1218,5,0)</f>
        <v>63990</v>
      </c>
      <c r="J31" s="2">
        <f t="shared" si="1"/>
        <v>56311.199999999997</v>
      </c>
      <c r="K31" s="2" t="str">
        <f>VLOOKUP(B31,'[2]WM-FLM'!$B$2:$AO$65,40,0)</f>
        <v>A++</v>
      </c>
      <c r="L31" t="s">
        <v>73</v>
      </c>
      <c r="M31">
        <v>10</v>
      </c>
      <c r="N31">
        <v>1400</v>
      </c>
      <c r="O31">
        <v>76</v>
      </c>
      <c r="P31">
        <v>5</v>
      </c>
      <c r="Q31">
        <v>8</v>
      </c>
      <c r="R31">
        <v>6.6000000000000003E-2</v>
      </c>
      <c r="S31" t="s">
        <v>131</v>
      </c>
      <c r="T31" t="s">
        <v>83</v>
      </c>
      <c r="U31" t="s">
        <v>97</v>
      </c>
      <c r="V31" t="s">
        <v>98</v>
      </c>
      <c r="W31" t="s">
        <v>99</v>
      </c>
      <c r="X31" t="s">
        <v>100</v>
      </c>
      <c r="Y31" t="s">
        <v>125</v>
      </c>
      <c r="Z31" t="s">
        <v>104</v>
      </c>
      <c r="AA31" t="s">
        <v>102</v>
      </c>
      <c r="AB31" t="s">
        <v>103</v>
      </c>
      <c r="AC31" t="s">
        <v>111</v>
      </c>
      <c r="AE31" t="s">
        <v>105</v>
      </c>
      <c r="AF31" t="s">
        <v>106</v>
      </c>
      <c r="AG31" t="s">
        <v>107</v>
      </c>
      <c r="AH31" t="s">
        <v>108</v>
      </c>
      <c r="AI31" t="s">
        <v>109</v>
      </c>
      <c r="AJ31" t="s">
        <v>115</v>
      </c>
      <c r="AK31" t="s">
        <v>116</v>
      </c>
      <c r="AL31" t="s">
        <v>117</v>
      </c>
      <c r="AM31" t="s">
        <v>119</v>
      </c>
      <c r="AN31" t="s">
        <v>121</v>
      </c>
      <c r="AO31" t="s">
        <v>123</v>
      </c>
    </row>
    <row r="32" spans="1:41" x14ac:dyDescent="0.25">
      <c r="A32">
        <v>31</v>
      </c>
      <c r="B32" s="1" t="s">
        <v>32</v>
      </c>
      <c r="C32" s="6">
        <v>8903287026515</v>
      </c>
      <c r="D32" s="7" t="str">
        <f>VLOOKUP(C32,[1]Sheet1!$A$2:$E$1223,2,0)&amp;", "&amp;VLOOKUP(C32,[1]Sheet1!$A$2:$E$1223,3,0)&amp;", "&amp;VLOOKUP(C32,[1]Sheet1!$A$2:$E$1223,5,0)</f>
        <v>DIVA AQUA SBS 6010, FLU, 32290</v>
      </c>
      <c r="E32" t="s">
        <v>1</v>
      </c>
      <c r="F32" t="s">
        <v>2</v>
      </c>
      <c r="G32" t="s">
        <v>164</v>
      </c>
      <c r="H32">
        <v>32290</v>
      </c>
      <c r="I32">
        <f>VLOOKUP(C32,[1]Sheet1!$A$363:$E$1218,5,0)</f>
        <v>32290</v>
      </c>
      <c r="J32" s="2">
        <f t="shared" si="1"/>
        <v>28415.200000000001</v>
      </c>
      <c r="K32" s="2" t="str">
        <f>VLOOKUP(B32,'[2]WM-FLM'!$B$2:$AO$65,40,0)</f>
        <v>C</v>
      </c>
      <c r="L32" t="s">
        <v>73</v>
      </c>
      <c r="M32">
        <v>6</v>
      </c>
      <c r="N32">
        <v>1000</v>
      </c>
      <c r="O32">
        <v>60</v>
      </c>
      <c r="P32">
        <v>5</v>
      </c>
      <c r="Q32">
        <v>9</v>
      </c>
      <c r="R32">
        <v>8.8999999999999996E-2</v>
      </c>
      <c r="S32" t="s">
        <v>81</v>
      </c>
      <c r="U32" t="s">
        <v>97</v>
      </c>
      <c r="V32" t="s">
        <v>98</v>
      </c>
      <c r="X32" t="s">
        <v>100</v>
      </c>
      <c r="Y32" t="s">
        <v>128</v>
      </c>
      <c r="AE32" t="s">
        <v>105</v>
      </c>
      <c r="AF32" t="s">
        <v>106</v>
      </c>
      <c r="AG32" t="s">
        <v>107</v>
      </c>
      <c r="AH32" t="s">
        <v>108</v>
      </c>
      <c r="AI32" t="s">
        <v>109</v>
      </c>
      <c r="AJ32" t="s">
        <v>115</v>
      </c>
      <c r="AO32" t="s">
        <v>123</v>
      </c>
    </row>
    <row r="33" spans="1:41" x14ac:dyDescent="0.25">
      <c r="A33">
        <v>32</v>
      </c>
      <c r="B33" s="1" t="s">
        <v>33</v>
      </c>
      <c r="C33" s="6">
        <v>8903287025686</v>
      </c>
      <c r="D33" s="7" t="str">
        <f>VLOOKUP(C33,[1]Sheet1!$A$2:$E$1223,2,0)&amp;", "&amp;VLOOKUP(C33,[1]Sheet1!$A$2:$E$1223,3,0)&amp;", "&amp;VLOOKUP(C33,[1]Sheet1!$A$2:$E$1223,5,0)</f>
        <v>ELITE MXS 7012, FLU, 46990</v>
      </c>
      <c r="E33" t="s">
        <v>1</v>
      </c>
      <c r="F33" t="s">
        <v>2</v>
      </c>
      <c r="G33" t="s">
        <v>165</v>
      </c>
      <c r="H33">
        <v>46990</v>
      </c>
      <c r="I33">
        <f>VLOOKUP(C33,[1]Sheet1!$A$363:$E$1218,5,0)</f>
        <v>46990</v>
      </c>
      <c r="J33" s="2">
        <f t="shared" si="1"/>
        <v>41351.199999999997</v>
      </c>
      <c r="K33" s="2" t="str">
        <f>VLOOKUP(B33,'[2]WM-FLM'!$B$2:$AO$65,40,0)</f>
        <v>B</v>
      </c>
      <c r="L33" t="s">
        <v>73</v>
      </c>
      <c r="M33">
        <v>7</v>
      </c>
      <c r="N33">
        <v>1200</v>
      </c>
      <c r="O33">
        <v>71</v>
      </c>
      <c r="P33">
        <v>5</v>
      </c>
      <c r="Q33">
        <v>9</v>
      </c>
      <c r="R33">
        <v>8.8999999999999996E-2</v>
      </c>
      <c r="S33" t="s">
        <v>124</v>
      </c>
      <c r="T33" t="s">
        <v>83</v>
      </c>
      <c r="U33" t="s">
        <v>97</v>
      </c>
      <c r="V33" t="s">
        <v>98</v>
      </c>
      <c r="X33" t="s">
        <v>100</v>
      </c>
      <c r="Y33" t="s">
        <v>101</v>
      </c>
      <c r="AE33" t="s">
        <v>105</v>
      </c>
      <c r="AF33" t="s">
        <v>106</v>
      </c>
      <c r="AG33" t="s">
        <v>107</v>
      </c>
      <c r="AH33" t="s">
        <v>108</v>
      </c>
      <c r="AI33" t="s">
        <v>109</v>
      </c>
      <c r="AJ33" t="s">
        <v>115</v>
      </c>
      <c r="AK33" t="s">
        <v>116</v>
      </c>
      <c r="AO33" t="s">
        <v>123</v>
      </c>
    </row>
    <row r="34" spans="1:41" x14ac:dyDescent="0.25">
      <c r="A34">
        <v>33</v>
      </c>
      <c r="B34" s="1" t="s">
        <v>34</v>
      </c>
      <c r="C34" s="6">
        <v>8903287025402</v>
      </c>
      <c r="D34" s="7" t="str">
        <f>VLOOKUP(C34,[1]Sheet1!$A$2:$E$1223,2,0)&amp;", "&amp;VLOOKUP(C34,[1]Sheet1!$A$2:$E$1223,3,0)&amp;", "&amp;VLOOKUP(C34,[1]Sheet1!$A$2:$E$1223,5,0)</f>
        <v>SENATOR VSS 8012, FLU, 40990</v>
      </c>
      <c r="E34" t="s">
        <v>1</v>
      </c>
      <c r="F34" t="s">
        <v>2</v>
      </c>
      <c r="G34" t="s">
        <v>166</v>
      </c>
      <c r="H34">
        <v>40990</v>
      </c>
      <c r="I34">
        <f>VLOOKUP(C34,[1]Sheet1!$A$363:$E$1218,5,0)</f>
        <v>40990</v>
      </c>
      <c r="J34" s="2">
        <f>H34-(0.04*H34)</f>
        <v>39350.400000000001</v>
      </c>
      <c r="K34" s="2" t="str">
        <f>VLOOKUP(B34,'[2]WM-FLM'!$B$2:$AO$65,40,0)</f>
        <v>C</v>
      </c>
      <c r="L34" t="s">
        <v>73</v>
      </c>
      <c r="M34">
        <v>8</v>
      </c>
      <c r="N34">
        <v>1200</v>
      </c>
      <c r="O34">
        <v>71</v>
      </c>
      <c r="S34" t="s">
        <v>127</v>
      </c>
      <c r="T34" t="s">
        <v>83</v>
      </c>
      <c r="V34" t="s">
        <v>98</v>
      </c>
      <c r="X34" t="s">
        <v>100</v>
      </c>
      <c r="Y34" t="s">
        <v>101</v>
      </c>
      <c r="AE34" t="s">
        <v>105</v>
      </c>
      <c r="AF34" t="s">
        <v>106</v>
      </c>
      <c r="AG34" t="s">
        <v>107</v>
      </c>
      <c r="AH34" t="s">
        <v>108</v>
      </c>
      <c r="AI34" t="s">
        <v>109</v>
      </c>
      <c r="AJ34" t="s">
        <v>115</v>
      </c>
      <c r="AK34" t="s">
        <v>116</v>
      </c>
      <c r="AM34" t="s">
        <v>119</v>
      </c>
      <c r="AN34" t="s">
        <v>121</v>
      </c>
      <c r="AO34" t="s">
        <v>123</v>
      </c>
    </row>
    <row r="35" spans="1:41" x14ac:dyDescent="0.25">
      <c r="A35">
        <v>34</v>
      </c>
      <c r="B35" s="1" t="s">
        <v>35</v>
      </c>
      <c r="C35" s="6">
        <v>8903287026058</v>
      </c>
      <c r="D35" s="7" t="str">
        <f>VLOOKUP(C35,[1]Sheet1!$A$2:$E$1223,2,0)&amp;", "&amp;VLOOKUP(C35,[1]Sheet1!$A$2:$E$1223,3,0)&amp;", "&amp;VLOOKUP(C35,[1]Sheet1!$A$2:$E$1223,5,0)</f>
        <v>EXECUTIVE SXS 9014, FLU, 47690</v>
      </c>
      <c r="E35" t="s">
        <v>1</v>
      </c>
      <c r="F35" t="s">
        <v>2</v>
      </c>
      <c r="G35" t="s">
        <v>167</v>
      </c>
      <c r="H35">
        <v>47690</v>
      </c>
      <c r="I35">
        <f>VLOOKUP(C35,[1]Sheet1!$A$363:$E$1218,5,0)</f>
        <v>47690</v>
      </c>
      <c r="J35" s="2">
        <f>H35-(0.04*H35)</f>
        <v>45782.400000000001</v>
      </c>
      <c r="K35" s="2" t="str">
        <f>VLOOKUP(B35,'[2]WM-FLM'!$B$2:$AO$65,40,0)</f>
        <v>B</v>
      </c>
      <c r="L35" t="s">
        <v>73</v>
      </c>
      <c r="M35">
        <v>9</v>
      </c>
      <c r="N35">
        <v>1400</v>
      </c>
      <c r="O35">
        <v>75</v>
      </c>
      <c r="P35">
        <v>5</v>
      </c>
      <c r="Q35">
        <v>8.9</v>
      </c>
      <c r="R35">
        <v>8.8999999999999996E-2</v>
      </c>
      <c r="S35" t="s">
        <v>81</v>
      </c>
      <c r="T35" t="s">
        <v>83</v>
      </c>
      <c r="V35" t="s">
        <v>98</v>
      </c>
      <c r="X35" t="s">
        <v>100</v>
      </c>
      <c r="Y35" t="s">
        <v>126</v>
      </c>
      <c r="AE35" t="s">
        <v>105</v>
      </c>
      <c r="AF35" t="s">
        <v>106</v>
      </c>
      <c r="AG35" t="s">
        <v>107</v>
      </c>
      <c r="AH35" t="s">
        <v>108</v>
      </c>
      <c r="AI35" t="s">
        <v>109</v>
      </c>
      <c r="AJ35" t="s">
        <v>115</v>
      </c>
      <c r="AK35" t="s">
        <v>116</v>
      </c>
      <c r="AM35" t="s">
        <v>119</v>
      </c>
      <c r="AO35" t="s">
        <v>123</v>
      </c>
    </row>
    <row r="36" spans="1:41" x14ac:dyDescent="0.25">
      <c r="A36">
        <v>35</v>
      </c>
      <c r="B36" s="1" t="s">
        <v>36</v>
      </c>
      <c r="C36" s="6">
        <v>8903287025679</v>
      </c>
      <c r="D36" s="7" t="str">
        <f>VLOOKUP(C36,[1]Sheet1!$A$2:$E$1223,2,0)&amp;", "&amp;VLOOKUP(C36,[1]Sheet1!$A$2:$E$1223,3,0)&amp;", "&amp;VLOOKUP(C36,[1]Sheet1!$A$2:$E$1223,5,0)</f>
        <v>ELITE PLUS WSS 7012, FLU, 40490</v>
      </c>
      <c r="E36" t="s">
        <v>1</v>
      </c>
      <c r="F36" t="s">
        <v>2</v>
      </c>
      <c r="G36" t="s">
        <v>168</v>
      </c>
      <c r="H36">
        <v>40490</v>
      </c>
      <c r="I36">
        <f>VLOOKUP(C36,[1]Sheet1!$A$363:$E$1218,5,0)</f>
        <v>40490</v>
      </c>
      <c r="J36" s="2">
        <f>H36-(0.04*H36)</f>
        <v>38870.400000000001</v>
      </c>
      <c r="K36" s="2" t="str">
        <f>VLOOKUP(B36,'[2]WM-FLM'!$B$2:$AO$65,40,0)</f>
        <v>C</v>
      </c>
      <c r="L36" t="s">
        <v>73</v>
      </c>
      <c r="M36">
        <v>7</v>
      </c>
      <c r="N36">
        <v>1200</v>
      </c>
      <c r="O36">
        <v>71</v>
      </c>
      <c r="P36">
        <v>5</v>
      </c>
      <c r="Q36">
        <v>8.9</v>
      </c>
      <c r="R36">
        <v>8.8999999999999996E-2</v>
      </c>
      <c r="S36" t="s">
        <v>81</v>
      </c>
      <c r="T36" t="s">
        <v>83</v>
      </c>
      <c r="V36" t="s">
        <v>98</v>
      </c>
      <c r="X36" t="s">
        <v>100</v>
      </c>
      <c r="Y36" t="s">
        <v>101</v>
      </c>
      <c r="AE36" t="s">
        <v>105</v>
      </c>
      <c r="AF36" t="s">
        <v>106</v>
      </c>
      <c r="AG36" t="s">
        <v>107</v>
      </c>
      <c r="AH36" t="s">
        <v>108</v>
      </c>
      <c r="AI36" t="s">
        <v>109</v>
      </c>
      <c r="AJ36" t="s">
        <v>115</v>
      </c>
      <c r="AK36" t="s">
        <v>116</v>
      </c>
      <c r="AM36" t="s">
        <v>119</v>
      </c>
      <c r="AO36" t="s">
        <v>123</v>
      </c>
    </row>
    <row r="37" spans="1:41" x14ac:dyDescent="0.25">
      <c r="A37">
        <v>36</v>
      </c>
      <c r="B37" s="1" t="s">
        <v>37</v>
      </c>
      <c r="C37" s="6">
        <v>8903287026638</v>
      </c>
      <c r="D37" s="7" t="str">
        <f>VLOOKUP(C37,[1]Sheet1!$A$2:$E$1223,2,0)&amp;", "&amp;VLOOKUP(C37,[1]Sheet1!$A$2:$E$1223,3,0)&amp;", "&amp;VLOOKUP(C37,[1]Sheet1!$A$2:$E$1223,5,0)</f>
        <v>EXECUTIVE MSC 9014, FLU, 59990</v>
      </c>
      <c r="E37" t="s">
        <v>1</v>
      </c>
      <c r="F37" t="s">
        <v>2</v>
      </c>
      <c r="G37" t="s">
        <v>169</v>
      </c>
      <c r="H37">
        <v>59990</v>
      </c>
      <c r="I37">
        <f>VLOOKUP(C37,[1]Sheet1!$A$363:$E$1218,5,0)</f>
        <v>59990</v>
      </c>
      <c r="J37" s="2">
        <f>H37-(0.12*H37)</f>
        <v>52791.199999999997</v>
      </c>
      <c r="K37" s="2" t="str">
        <f>VLOOKUP(B37,'[2]WM-FLM'!$B$2:$AO$65,40,0)</f>
        <v>A++</v>
      </c>
      <c r="L37" t="s">
        <v>73</v>
      </c>
      <c r="M37">
        <v>9</v>
      </c>
      <c r="N37">
        <v>1400</v>
      </c>
      <c r="O37">
        <v>76</v>
      </c>
      <c r="P37">
        <v>5</v>
      </c>
      <c r="Q37">
        <v>8.9</v>
      </c>
      <c r="R37">
        <v>0.06</v>
      </c>
      <c r="S37" t="s">
        <v>81</v>
      </c>
      <c r="T37" t="s">
        <v>83</v>
      </c>
      <c r="U37" t="s">
        <v>97</v>
      </c>
      <c r="V37" t="s">
        <v>98</v>
      </c>
      <c r="W37" t="s">
        <v>99</v>
      </c>
      <c r="X37" t="s">
        <v>100</v>
      </c>
      <c r="Y37" t="s">
        <v>125</v>
      </c>
      <c r="Z37" t="s">
        <v>104</v>
      </c>
      <c r="AA37" t="s">
        <v>102</v>
      </c>
      <c r="AB37" t="s">
        <v>103</v>
      </c>
      <c r="AC37" t="s">
        <v>111</v>
      </c>
      <c r="AE37" t="s">
        <v>105</v>
      </c>
      <c r="AF37" t="s">
        <v>106</v>
      </c>
      <c r="AG37" t="s">
        <v>107</v>
      </c>
      <c r="AH37" t="s">
        <v>108</v>
      </c>
      <c r="AI37" t="s">
        <v>109</v>
      </c>
      <c r="AJ37" t="s">
        <v>115</v>
      </c>
      <c r="AK37" t="s">
        <v>116</v>
      </c>
      <c r="AL37" t="s">
        <v>117</v>
      </c>
      <c r="AM37" t="s">
        <v>119</v>
      </c>
      <c r="AN37" t="s">
        <v>121</v>
      </c>
      <c r="AO37" t="s">
        <v>123</v>
      </c>
    </row>
    <row r="38" spans="1:41" x14ac:dyDescent="0.25">
      <c r="A38">
        <v>37</v>
      </c>
      <c r="B38" s="1" t="s">
        <v>38</v>
      </c>
      <c r="C38" s="6">
        <v>8903287024580</v>
      </c>
      <c r="D38" s="7" t="str">
        <f>VLOOKUP(C38,[1]Sheet1!$A$2:$E$1223,2,0)&amp;", "&amp;VLOOKUP(C38,[1]Sheet1!$A$2:$E$1223,3,0)&amp;", "&amp;VLOOKUP(C38,[1]Sheet1!$A$2:$E$1223,5,0)</f>
        <v>SENATOR VXS 0812, FLU, 40990</v>
      </c>
      <c r="E38" t="s">
        <v>1</v>
      </c>
      <c r="F38" t="s">
        <v>2</v>
      </c>
      <c r="G38" t="s">
        <v>170</v>
      </c>
      <c r="H38">
        <v>40990</v>
      </c>
      <c r="I38">
        <f>VLOOKUP(C38,[1]Sheet1!$A$363:$E$1218,5,0)</f>
        <v>40990</v>
      </c>
      <c r="J38" s="2">
        <f>H38-(0.04*H38)</f>
        <v>39350.400000000001</v>
      </c>
      <c r="K38" s="2" t="str">
        <f>VLOOKUP(B38,'[2]WM-FLM'!$B$2:$AO$65,40,0)</f>
        <v>C</v>
      </c>
      <c r="L38" t="s">
        <v>73</v>
      </c>
      <c r="M38">
        <v>8</v>
      </c>
      <c r="N38">
        <v>1200</v>
      </c>
      <c r="O38">
        <v>73</v>
      </c>
      <c r="P38">
        <v>5</v>
      </c>
      <c r="Q38">
        <v>8.9</v>
      </c>
      <c r="R38">
        <v>8.8999999999999996E-2</v>
      </c>
      <c r="S38" t="s">
        <v>81</v>
      </c>
      <c r="T38" t="s">
        <v>83</v>
      </c>
      <c r="V38" t="s">
        <v>98</v>
      </c>
      <c r="X38" t="s">
        <v>100</v>
      </c>
      <c r="Y38" t="s">
        <v>101</v>
      </c>
      <c r="AE38" t="s">
        <v>105</v>
      </c>
      <c r="AF38" t="s">
        <v>106</v>
      </c>
      <c r="AG38" t="s">
        <v>107</v>
      </c>
      <c r="AH38" t="s">
        <v>108</v>
      </c>
      <c r="AI38" t="s">
        <v>109</v>
      </c>
      <c r="AK38" t="s">
        <v>116</v>
      </c>
      <c r="AM38" t="s">
        <v>119</v>
      </c>
      <c r="AN38" t="s">
        <v>121</v>
      </c>
      <c r="AO38" t="s">
        <v>123</v>
      </c>
    </row>
    <row r="39" spans="1:41" x14ac:dyDescent="0.25">
      <c r="A39">
        <v>38</v>
      </c>
      <c r="B39" s="1" t="s">
        <v>39</v>
      </c>
      <c r="C39" s="6">
        <v>8903287026089</v>
      </c>
      <c r="D39" s="7" t="str">
        <f>VLOOKUP(C39,[1]Sheet1!$A$2:$E$1223,2,0)&amp;", "&amp;VLOOKUP(C39,[1]Sheet1!$A$2:$E$1223,3,0)&amp;", "&amp;VLOOKUP(C39,[1]Sheet1!$A$2:$E$1223,5,0)</f>
        <v>ELENA SBS 6510, FLU, 37090</v>
      </c>
      <c r="E39" t="s">
        <v>1</v>
      </c>
      <c r="F39" t="s">
        <v>2</v>
      </c>
      <c r="G39" t="s">
        <v>171</v>
      </c>
      <c r="H39">
        <v>37090</v>
      </c>
      <c r="I39">
        <f>VLOOKUP(C39,[1]Sheet1!$A$363:$E$1218,5,0)</f>
        <v>37090</v>
      </c>
      <c r="J39" s="2">
        <f>H39-(0.12*H39)</f>
        <v>32639.200000000001</v>
      </c>
      <c r="K39" s="2" t="str">
        <f>VLOOKUP(B39,'[2]WM-FLM'!$B$2:$AO$65,40,0)</f>
        <v>C</v>
      </c>
      <c r="L39" t="s">
        <v>73</v>
      </c>
      <c r="M39">
        <v>6.5</v>
      </c>
      <c r="N39">
        <v>1000</v>
      </c>
      <c r="O39">
        <v>65</v>
      </c>
      <c r="P39">
        <v>5</v>
      </c>
      <c r="Q39">
        <v>8.9</v>
      </c>
      <c r="R39">
        <v>8.8999999999999996E-2</v>
      </c>
      <c r="S39" t="s">
        <v>81</v>
      </c>
      <c r="T39" t="s">
        <v>83</v>
      </c>
      <c r="U39" t="s">
        <v>97</v>
      </c>
      <c r="V39" t="s">
        <v>98</v>
      </c>
      <c r="X39" t="s">
        <v>100</v>
      </c>
      <c r="Y39" t="s">
        <v>128</v>
      </c>
      <c r="AE39" t="s">
        <v>105</v>
      </c>
      <c r="AF39" t="s">
        <v>106</v>
      </c>
      <c r="AG39" t="s">
        <v>107</v>
      </c>
      <c r="AH39" t="s">
        <v>108</v>
      </c>
      <c r="AI39" t="s">
        <v>109</v>
      </c>
      <c r="AJ39" t="s">
        <v>115</v>
      </c>
      <c r="AK39" t="s">
        <v>116</v>
      </c>
      <c r="AM39" t="s">
        <v>119</v>
      </c>
      <c r="AO39" t="s">
        <v>123</v>
      </c>
    </row>
    <row r="40" spans="1:41" x14ac:dyDescent="0.25">
      <c r="A40">
        <v>39</v>
      </c>
      <c r="B40" s="1" t="s">
        <v>40</v>
      </c>
      <c r="C40" s="6">
        <v>8903287025617</v>
      </c>
      <c r="D40" s="7" t="str">
        <f>VLOOKUP(C40,[1]Sheet1!$A$2:$E$1223,2,0)&amp;", "&amp;VLOOKUP(C40,[1]Sheet1!$A$2:$E$1223,3,0)&amp;", "&amp;VLOOKUP(C40,[1]Sheet1!$A$2:$E$1223,5,0)</f>
        <v>NEO DIVA VXS 7010, FLU, 40990</v>
      </c>
      <c r="E40" t="s">
        <v>1</v>
      </c>
      <c r="F40" t="s">
        <v>2</v>
      </c>
      <c r="G40" t="s">
        <v>172</v>
      </c>
      <c r="H40">
        <v>35990</v>
      </c>
      <c r="I40">
        <f>VLOOKUP(C40,[1]Sheet1!$A$363:$E$1218,5,0)</f>
        <v>40990</v>
      </c>
      <c r="J40" s="2">
        <f>H40-(0.04*H40)</f>
        <v>34550.400000000001</v>
      </c>
      <c r="K40" s="2" t="str">
        <f>VLOOKUP(B40,'[2]WM-FLM'!$B$2:$AO$65,40,0)</f>
        <v>C</v>
      </c>
      <c r="L40" t="s">
        <v>73</v>
      </c>
      <c r="M40">
        <v>7</v>
      </c>
      <c r="N40">
        <v>1000</v>
      </c>
      <c r="O40">
        <v>69</v>
      </c>
      <c r="S40" t="s">
        <v>127</v>
      </c>
      <c r="T40" t="s">
        <v>83</v>
      </c>
      <c r="V40" t="s">
        <v>98</v>
      </c>
      <c r="X40" t="s">
        <v>100</v>
      </c>
      <c r="Y40" t="s">
        <v>101</v>
      </c>
      <c r="AE40" t="s">
        <v>105</v>
      </c>
      <c r="AF40" t="s">
        <v>106</v>
      </c>
      <c r="AG40" t="s">
        <v>107</v>
      </c>
      <c r="AH40" t="s">
        <v>108</v>
      </c>
      <c r="AI40" t="s">
        <v>109</v>
      </c>
      <c r="AO40" t="s">
        <v>123</v>
      </c>
    </row>
    <row r="41" spans="1:41" x14ac:dyDescent="0.25">
      <c r="A41">
        <v>40</v>
      </c>
      <c r="B41" s="1" t="s">
        <v>41</v>
      </c>
      <c r="C41" s="6">
        <v>8903287025594</v>
      </c>
      <c r="D41" s="7" t="str">
        <f>VLOOKUP(C41,[1]Sheet1!$A$2:$E$1223,2,0)&amp;", "&amp;VLOOKUP(C41,[1]Sheet1!$A$2:$E$1223,3,0)&amp;", "&amp;VLOOKUP(C41,[1]Sheet1!$A$2:$E$1223,5,0)</f>
        <v>SENATOR PLUS VXS 8012, FLU, 47190</v>
      </c>
      <c r="E41" t="s">
        <v>1</v>
      </c>
      <c r="F41" t="s">
        <v>2</v>
      </c>
      <c r="G41" t="s">
        <v>173</v>
      </c>
      <c r="H41">
        <v>47190</v>
      </c>
      <c r="I41">
        <f>VLOOKUP(C41,[1]Sheet1!$A$363:$E$1218,5,0)</f>
        <v>47190</v>
      </c>
      <c r="J41" s="2">
        <f>H41-(0.12*H41)</f>
        <v>41527.199999999997</v>
      </c>
      <c r="K41" s="2" t="str">
        <f>VLOOKUP(B41,'[2]WM-FLM'!$B$2:$AO$65,40,0)</f>
        <v>B</v>
      </c>
      <c r="L41" t="s">
        <v>73</v>
      </c>
      <c r="M41">
        <v>8</v>
      </c>
      <c r="N41">
        <v>1200</v>
      </c>
      <c r="O41">
        <v>75</v>
      </c>
      <c r="P41">
        <v>5</v>
      </c>
      <c r="Q41">
        <v>8.9</v>
      </c>
      <c r="R41">
        <v>8.8999999999999996E-2</v>
      </c>
      <c r="S41" t="s">
        <v>127</v>
      </c>
      <c r="T41" t="s">
        <v>83</v>
      </c>
      <c r="U41" t="s">
        <v>97</v>
      </c>
      <c r="V41" t="s">
        <v>98</v>
      </c>
      <c r="X41" t="s">
        <v>100</v>
      </c>
      <c r="Y41" t="s">
        <v>126</v>
      </c>
      <c r="AE41" t="s">
        <v>105</v>
      </c>
      <c r="AF41" t="s">
        <v>106</v>
      </c>
      <c r="AG41" t="s">
        <v>107</v>
      </c>
      <c r="AH41" t="s">
        <v>108</v>
      </c>
      <c r="AI41" t="s">
        <v>109</v>
      </c>
      <c r="AJ41" t="s">
        <v>115</v>
      </c>
      <c r="AK41" t="s">
        <v>116</v>
      </c>
      <c r="AM41" t="s">
        <v>119</v>
      </c>
      <c r="AO41" t="s">
        <v>123</v>
      </c>
    </row>
    <row r="42" spans="1:41" x14ac:dyDescent="0.25">
      <c r="A42">
        <v>41</v>
      </c>
      <c r="B42" s="1" t="s">
        <v>42</v>
      </c>
      <c r="C42" s="6">
        <v>8903287025631</v>
      </c>
      <c r="D42" s="7" t="str">
        <f>VLOOKUP(C42,[1]Sheet1!$A$2:$E$1223,2,0)&amp;", "&amp;VLOOKUP(C42,[1]Sheet1!$A$2:$E$1223,3,0)&amp;", "&amp;VLOOKUP(C42,[1]Sheet1!$A$2:$E$1223,5,0)</f>
        <v>NEO DIVA BXS 7010, FLU, 41190</v>
      </c>
      <c r="E42" t="s">
        <v>1</v>
      </c>
      <c r="F42" t="s">
        <v>2</v>
      </c>
      <c r="G42" t="s">
        <v>174</v>
      </c>
      <c r="H42">
        <v>41190</v>
      </c>
      <c r="I42">
        <f>VLOOKUP(C42,[1]Sheet1!$A$363:$E$1218,5,0)</f>
        <v>41190</v>
      </c>
      <c r="J42" s="2">
        <f>H42-(0.12*H42)</f>
        <v>36247.199999999997</v>
      </c>
      <c r="K42" s="2" t="str">
        <f>VLOOKUP(B42,'[2]WM-FLM'!$B$2:$AO$65,40,0)</f>
        <v>C</v>
      </c>
      <c r="L42" t="s">
        <v>73</v>
      </c>
      <c r="M42">
        <v>7</v>
      </c>
      <c r="N42">
        <v>1000</v>
      </c>
      <c r="O42">
        <v>69</v>
      </c>
      <c r="P42">
        <v>5</v>
      </c>
      <c r="Q42">
        <v>8.9</v>
      </c>
      <c r="R42">
        <v>8.8999999999999996E-2</v>
      </c>
      <c r="S42" t="s">
        <v>127</v>
      </c>
      <c r="T42" t="s">
        <v>83</v>
      </c>
      <c r="U42" t="s">
        <v>97</v>
      </c>
      <c r="V42" t="s">
        <v>98</v>
      </c>
      <c r="X42" t="s">
        <v>100</v>
      </c>
      <c r="Y42" t="s">
        <v>101</v>
      </c>
      <c r="AE42" t="s">
        <v>105</v>
      </c>
      <c r="AF42" t="s">
        <v>106</v>
      </c>
      <c r="AG42" t="s">
        <v>107</v>
      </c>
      <c r="AH42" t="s">
        <v>108</v>
      </c>
      <c r="AI42" t="s">
        <v>109</v>
      </c>
      <c r="AJ42" t="s">
        <v>115</v>
      </c>
      <c r="AK42" t="s">
        <v>116</v>
      </c>
      <c r="AM42" t="s">
        <v>119</v>
      </c>
      <c r="AO42" t="s">
        <v>123</v>
      </c>
    </row>
    <row r="43" spans="1:41" x14ac:dyDescent="0.25">
      <c r="A43">
        <v>42</v>
      </c>
      <c r="B43" s="1" t="s">
        <v>43</v>
      </c>
      <c r="C43" s="6">
        <v>8903287026713</v>
      </c>
      <c r="D43" s="7" t="str">
        <f>VLOOKUP(C43,[1]Sheet1!$A$2:$E$1223,2,0)&amp;", "&amp;VLOOKUP(C43,[1]Sheet1!$A$2:$E$1223,3,0)&amp;", "&amp;VLOOKUP(C43,[1]Sheet1!$A$2:$E$1223,5,0)</f>
        <v>SENATOR NEO MXS 8012, FLU, 48990</v>
      </c>
      <c r="E43" t="s">
        <v>1</v>
      </c>
      <c r="F43" t="s">
        <v>2</v>
      </c>
      <c r="G43" t="s">
        <v>175</v>
      </c>
      <c r="H43">
        <v>48990</v>
      </c>
      <c r="I43">
        <f>VLOOKUP(C43,[1]Sheet1!$A$363:$E$1218,5,0)</f>
        <v>48990</v>
      </c>
      <c r="J43" s="2">
        <f>H43-(0.12*H43)</f>
        <v>43111.199999999997</v>
      </c>
      <c r="K43" s="2" t="str">
        <f>VLOOKUP(B43,'[2]WM-FLM'!$B$2:$AO$65,40,0)</f>
        <v>A</v>
      </c>
      <c r="L43" t="s">
        <v>73</v>
      </c>
      <c r="M43">
        <v>8</v>
      </c>
      <c r="N43">
        <v>1200</v>
      </c>
      <c r="O43">
        <v>69</v>
      </c>
      <c r="P43">
        <v>5</v>
      </c>
      <c r="Q43">
        <v>8.9</v>
      </c>
      <c r="R43">
        <v>8.8999999999999996E-2</v>
      </c>
      <c r="S43" t="s">
        <v>124</v>
      </c>
      <c r="T43" t="s">
        <v>83</v>
      </c>
      <c r="U43" t="s">
        <v>97</v>
      </c>
      <c r="V43" t="s">
        <v>98</v>
      </c>
      <c r="X43" t="s">
        <v>100</v>
      </c>
      <c r="Y43" t="s">
        <v>101</v>
      </c>
      <c r="AE43" t="s">
        <v>105</v>
      </c>
      <c r="AF43" t="s">
        <v>106</v>
      </c>
      <c r="AG43" t="s">
        <v>107</v>
      </c>
      <c r="AH43" t="s">
        <v>108</v>
      </c>
      <c r="AI43" t="s">
        <v>109</v>
      </c>
      <c r="AJ43" t="s">
        <v>115</v>
      </c>
      <c r="AK43" t="s">
        <v>116</v>
      </c>
      <c r="AO43" t="s">
        <v>123</v>
      </c>
    </row>
    <row r="44" spans="1:41" x14ac:dyDescent="0.25">
      <c r="A44">
        <v>43</v>
      </c>
      <c r="B44" s="1" t="s">
        <v>44</v>
      </c>
      <c r="C44" s="6">
        <v>8903287026171</v>
      </c>
      <c r="D44" s="7" t="str">
        <f>VLOOKUP(C44,[1]Sheet1!$A$2:$E$1223,2,0)&amp;", "&amp;VLOOKUP(C44,[1]Sheet1!$A$2:$E$1223,3,0)&amp;", "&amp;VLOOKUP(C44,[1]Sheet1!$A$2:$E$1223,5,0)</f>
        <v>SENATOR NEO SXS 8012, FLU, 47990</v>
      </c>
      <c r="E44" t="s">
        <v>1</v>
      </c>
      <c r="F44" t="s">
        <v>2</v>
      </c>
      <c r="G44" t="s">
        <v>176</v>
      </c>
      <c r="H44">
        <v>47990</v>
      </c>
      <c r="I44">
        <f>VLOOKUP(C44,[1]Sheet1!$A$363:$E$1218,5,0)</f>
        <v>47990</v>
      </c>
      <c r="J44" s="2">
        <f>H44-(0.12*H44)</f>
        <v>42231.199999999997</v>
      </c>
      <c r="K44" s="2" t="str">
        <f>VLOOKUP(B44,'[2]WM-FLM'!$B$2:$AO$65,40,0)</f>
        <v>B</v>
      </c>
      <c r="L44" t="s">
        <v>73</v>
      </c>
      <c r="M44">
        <v>8</v>
      </c>
      <c r="N44">
        <v>1200</v>
      </c>
      <c r="O44">
        <v>69</v>
      </c>
      <c r="P44">
        <v>5</v>
      </c>
      <c r="Q44">
        <v>8.9</v>
      </c>
      <c r="R44">
        <v>8.8999999999999996E-2</v>
      </c>
      <c r="S44" t="s">
        <v>81</v>
      </c>
      <c r="T44" t="s">
        <v>83</v>
      </c>
      <c r="U44" t="s">
        <v>97</v>
      </c>
      <c r="V44" t="s">
        <v>98</v>
      </c>
      <c r="X44" t="s">
        <v>100</v>
      </c>
      <c r="Y44" t="s">
        <v>101</v>
      </c>
      <c r="AE44" t="s">
        <v>105</v>
      </c>
      <c r="AF44" t="s">
        <v>106</v>
      </c>
      <c r="AG44" t="s">
        <v>107</v>
      </c>
      <c r="AI44" t="s">
        <v>109</v>
      </c>
      <c r="AJ44" t="s">
        <v>115</v>
      </c>
      <c r="AK44" t="s">
        <v>116</v>
      </c>
      <c r="AO44" t="s">
        <v>123</v>
      </c>
    </row>
    <row r="45" spans="1:41" x14ac:dyDescent="0.25">
      <c r="A45">
        <v>44</v>
      </c>
      <c r="B45" s="1" t="s">
        <v>45</v>
      </c>
      <c r="C45" s="6">
        <v>8903287026164</v>
      </c>
      <c r="D45" s="7" t="str">
        <f>VLOOKUP(C45,[1]Sheet1!$A$2:$E$1223,2,0)&amp;", "&amp;VLOOKUP(C45,[1]Sheet1!$A$2:$E$1223,3,0)&amp;", "&amp;VLOOKUP(C45,[1]Sheet1!$A$2:$E$1223,5,0)</f>
        <v>SENATOR NEO VXS 8012, FLU, 46490</v>
      </c>
      <c r="E45" t="s">
        <v>1</v>
      </c>
      <c r="F45" t="s">
        <v>2</v>
      </c>
      <c r="G45" t="s">
        <v>177</v>
      </c>
      <c r="H45">
        <v>46490</v>
      </c>
      <c r="I45">
        <f>VLOOKUP(C45,[1]Sheet1!$A$363:$E$1218,5,0)</f>
        <v>46490</v>
      </c>
      <c r="J45" s="2">
        <f>H45-(0.12*H45)</f>
        <v>40911.199999999997</v>
      </c>
      <c r="K45" s="2" t="str">
        <f>VLOOKUP(B45,'[2]WM-FLM'!$B$2:$AO$65,40,0)</f>
        <v>B</v>
      </c>
      <c r="L45" t="s">
        <v>73</v>
      </c>
      <c r="M45">
        <v>8</v>
      </c>
      <c r="N45">
        <v>1200</v>
      </c>
      <c r="O45">
        <v>69</v>
      </c>
      <c r="P45">
        <v>5</v>
      </c>
      <c r="Q45">
        <v>8.9</v>
      </c>
      <c r="R45">
        <v>8.8999999999999996E-2</v>
      </c>
      <c r="S45" t="s">
        <v>127</v>
      </c>
      <c r="T45" t="s">
        <v>83</v>
      </c>
      <c r="U45" t="s">
        <v>97</v>
      </c>
      <c r="V45" t="s">
        <v>98</v>
      </c>
      <c r="X45" t="s">
        <v>100</v>
      </c>
      <c r="Y45" t="s">
        <v>101</v>
      </c>
      <c r="AE45" t="s">
        <v>105</v>
      </c>
      <c r="AF45" t="s">
        <v>106</v>
      </c>
      <c r="AG45" t="s">
        <v>107</v>
      </c>
      <c r="AH45" t="s">
        <v>108</v>
      </c>
      <c r="AI45" t="s">
        <v>109</v>
      </c>
      <c r="AJ45" t="s">
        <v>115</v>
      </c>
      <c r="AK45" t="s">
        <v>116</v>
      </c>
      <c r="AO45" t="s">
        <v>123</v>
      </c>
    </row>
    <row r="46" spans="1:41" x14ac:dyDescent="0.25">
      <c r="A46">
        <v>45</v>
      </c>
      <c r="B46" s="1" t="s">
        <v>46</v>
      </c>
      <c r="C46" s="6">
        <v>8903287025648</v>
      </c>
      <c r="D46" s="7" t="str">
        <f>VLOOKUP(C46,[1]Sheet1!$A$2:$E$1223,2,0)&amp;", "&amp;VLOOKUP(C46,[1]Sheet1!$A$2:$E$1223,3,0)&amp;", "&amp;VLOOKUP(C46,[1]Sheet1!$A$2:$E$1223,5,0)</f>
        <v>NEO DIVA WSS 7010, FLU, 36690</v>
      </c>
      <c r="E46" t="s">
        <v>1</v>
      </c>
      <c r="F46" t="s">
        <v>2</v>
      </c>
      <c r="G46" t="s">
        <v>178</v>
      </c>
      <c r="H46">
        <v>36690</v>
      </c>
      <c r="I46">
        <f>VLOOKUP(C46,[1]Sheet1!$A$363:$E$1218,5,0)</f>
        <v>36690</v>
      </c>
      <c r="J46" s="2">
        <f>H46-(0.04*H46)</f>
        <v>35222.400000000001</v>
      </c>
      <c r="K46" s="2" t="str">
        <f>VLOOKUP(B46,'[2]WM-FLM'!$B$2:$AO$65,40,0)</f>
        <v>C</v>
      </c>
      <c r="L46" t="s">
        <v>73</v>
      </c>
      <c r="M46">
        <v>7</v>
      </c>
      <c r="N46">
        <v>1000</v>
      </c>
      <c r="O46">
        <v>69</v>
      </c>
      <c r="P46">
        <v>5</v>
      </c>
      <c r="Q46">
        <v>8.9</v>
      </c>
      <c r="R46">
        <v>8.8999999999999996E-2</v>
      </c>
      <c r="S46" t="s">
        <v>127</v>
      </c>
      <c r="T46" t="s">
        <v>83</v>
      </c>
      <c r="V46" t="s">
        <v>98</v>
      </c>
      <c r="X46" t="s">
        <v>100</v>
      </c>
      <c r="Y46" t="s">
        <v>101</v>
      </c>
      <c r="AE46" t="s">
        <v>105</v>
      </c>
      <c r="AF46" t="s">
        <v>106</v>
      </c>
      <c r="AG46" t="s">
        <v>107</v>
      </c>
      <c r="AH46" t="s">
        <v>108</v>
      </c>
      <c r="AI46" t="s">
        <v>109</v>
      </c>
      <c r="AJ46" t="s">
        <v>115</v>
      </c>
      <c r="AK46" t="s">
        <v>116</v>
      </c>
      <c r="AM46" t="s">
        <v>119</v>
      </c>
      <c r="AO46" t="s">
        <v>123</v>
      </c>
    </row>
    <row r="47" spans="1:41" x14ac:dyDescent="0.25">
      <c r="A47">
        <v>46</v>
      </c>
      <c r="B47" s="1" t="s">
        <v>47</v>
      </c>
      <c r="C47" s="6">
        <v>8903287025754</v>
      </c>
      <c r="D47" s="7" t="str">
        <f>VLOOKUP(C47,[1]Sheet1!$A$2:$E$1223,2,0)&amp;", "&amp;VLOOKUP(C47,[1]Sheet1!$A$2:$E$1223,3,0)&amp;", "&amp;VLOOKUP(C47,[1]Sheet1!$A$2:$E$1223,5,0)</f>
        <v>EVA PLUS ZWS 6010, FLU, 32790</v>
      </c>
      <c r="E47" t="s">
        <v>1</v>
      </c>
      <c r="F47" t="s">
        <v>2</v>
      </c>
      <c r="G47" t="s">
        <v>179</v>
      </c>
      <c r="H47">
        <v>32790</v>
      </c>
      <c r="I47">
        <f>VLOOKUP(C47,[1]Sheet1!$A$363:$E$1218,5,0)</f>
        <v>32790</v>
      </c>
      <c r="J47" s="2">
        <f>H47-(0.04*H47)</f>
        <v>31478.400000000001</v>
      </c>
      <c r="K47" s="2" t="str">
        <f>VLOOKUP(B47,'[2]WM-FLM'!$B$2:$AO$65,40,0)</f>
        <v>C</v>
      </c>
      <c r="L47" t="s">
        <v>73</v>
      </c>
      <c r="M47">
        <v>6</v>
      </c>
      <c r="N47">
        <v>1000</v>
      </c>
      <c r="O47">
        <v>65</v>
      </c>
      <c r="P47">
        <v>5</v>
      </c>
      <c r="Q47">
        <v>9</v>
      </c>
      <c r="R47">
        <v>8.8999999999999996E-2</v>
      </c>
      <c r="S47" t="s">
        <v>127</v>
      </c>
      <c r="T47" t="s">
        <v>83</v>
      </c>
      <c r="V47" t="s">
        <v>98</v>
      </c>
      <c r="X47" t="s">
        <v>100</v>
      </c>
      <c r="Y47" t="s">
        <v>128</v>
      </c>
      <c r="AE47" t="s">
        <v>105</v>
      </c>
      <c r="AF47" t="s">
        <v>106</v>
      </c>
      <c r="AG47" t="s">
        <v>107</v>
      </c>
      <c r="AH47" t="s">
        <v>108</v>
      </c>
      <c r="AI47" t="s">
        <v>109</v>
      </c>
      <c r="AJ47" t="s">
        <v>115</v>
      </c>
      <c r="AK47" t="s">
        <v>116</v>
      </c>
      <c r="AO47" t="s">
        <v>123</v>
      </c>
    </row>
    <row r="48" spans="1:41" x14ac:dyDescent="0.25">
      <c r="A48">
        <v>47</v>
      </c>
      <c r="B48" s="1" t="s">
        <v>48</v>
      </c>
      <c r="C48" s="6">
        <v>8903287026492</v>
      </c>
      <c r="D48" s="7" t="str">
        <f>VLOOKUP(C48,[1]Sheet1!$A$2:$E$1223,2,0)&amp;", "&amp;VLOOKUP(C48,[1]Sheet1!$A$2:$E$1223,3,0)&amp;", "&amp;VLOOKUP(C48,[1]Sheet1!$A$2:$E$1223,5,0)</f>
        <v>DIVA AQUA VSS 6010, FLU, 30990</v>
      </c>
      <c r="E48" t="s">
        <v>1</v>
      </c>
      <c r="F48" t="s">
        <v>2</v>
      </c>
      <c r="G48" t="s">
        <v>180</v>
      </c>
      <c r="H48">
        <v>30990</v>
      </c>
      <c r="I48">
        <f>VLOOKUP(C48,[1]Sheet1!$A$363:$E$1218,5,0)</f>
        <v>30990</v>
      </c>
      <c r="J48" s="2">
        <f>H48-(0.12*H48)</f>
        <v>27271.200000000001</v>
      </c>
      <c r="K48" s="2" t="str">
        <f>VLOOKUP(B48,'[2]WM-FLM'!$B$2:$AO$65,40,0)</f>
        <v>C</v>
      </c>
      <c r="L48" t="s">
        <v>73</v>
      </c>
      <c r="M48">
        <v>6</v>
      </c>
      <c r="N48">
        <v>1000</v>
      </c>
      <c r="O48">
        <v>60</v>
      </c>
      <c r="P48">
        <v>5</v>
      </c>
      <c r="Q48">
        <v>9</v>
      </c>
      <c r="R48">
        <v>8.8999999999999996E-2</v>
      </c>
      <c r="S48" t="s">
        <v>127</v>
      </c>
      <c r="U48" t="s">
        <v>97</v>
      </c>
      <c r="V48" t="s">
        <v>98</v>
      </c>
      <c r="X48" t="s">
        <v>100</v>
      </c>
      <c r="Y48" t="s">
        <v>128</v>
      </c>
      <c r="AE48" t="s">
        <v>105</v>
      </c>
      <c r="AF48" t="s">
        <v>106</v>
      </c>
      <c r="AG48" t="s">
        <v>107</v>
      </c>
      <c r="AH48" t="s">
        <v>108</v>
      </c>
      <c r="AI48" t="s">
        <v>109</v>
      </c>
      <c r="AJ48" t="s">
        <v>115</v>
      </c>
      <c r="AO48" t="s">
        <v>123</v>
      </c>
    </row>
    <row r="49" spans="1:41" x14ac:dyDescent="0.25">
      <c r="A49">
        <v>48</v>
      </c>
      <c r="B49" s="1" t="s">
        <v>49</v>
      </c>
      <c r="C49" s="6">
        <v>8903287025723</v>
      </c>
      <c r="D49" s="7" t="str">
        <f>VLOOKUP(C49,[1]Sheet1!$A$2:$E$1223,2,0)&amp;", "&amp;VLOOKUP(C49,[1]Sheet1!$A$2:$E$1223,3,0)&amp;", "&amp;VLOOKUP(C49,[1]Sheet1!$A$2:$E$1223,5,0)</f>
        <v>ELENA SXS 6510, FLU, 36290</v>
      </c>
      <c r="E49" t="s">
        <v>1</v>
      </c>
      <c r="F49" t="s">
        <v>2</v>
      </c>
      <c r="G49" t="s">
        <v>181</v>
      </c>
      <c r="H49">
        <v>36290</v>
      </c>
      <c r="I49">
        <f>VLOOKUP(C49,[1]Sheet1!$A$363:$E$1218,5,0)</f>
        <v>36290</v>
      </c>
      <c r="J49" s="2">
        <f>H49-(0.12*H49)</f>
        <v>31935.200000000001</v>
      </c>
      <c r="K49" s="2" t="str">
        <f>VLOOKUP(B49,'[2]WM-FLM'!$B$2:$AO$65,40,0)</f>
        <v>C</v>
      </c>
      <c r="L49" t="s">
        <v>73</v>
      </c>
      <c r="M49">
        <v>6.5</v>
      </c>
      <c r="N49">
        <v>1000</v>
      </c>
      <c r="O49">
        <v>65</v>
      </c>
      <c r="P49">
        <v>5</v>
      </c>
      <c r="Q49">
        <v>8.9</v>
      </c>
      <c r="R49">
        <v>8.8999999999999996E-2</v>
      </c>
      <c r="S49" t="s">
        <v>81</v>
      </c>
      <c r="T49" t="s">
        <v>83</v>
      </c>
      <c r="U49" t="s">
        <v>97</v>
      </c>
      <c r="V49" t="s">
        <v>98</v>
      </c>
      <c r="X49" t="s">
        <v>100</v>
      </c>
      <c r="Y49" t="s">
        <v>128</v>
      </c>
      <c r="AE49" t="s">
        <v>105</v>
      </c>
      <c r="AF49" t="s">
        <v>106</v>
      </c>
      <c r="AG49" t="s">
        <v>107</v>
      </c>
      <c r="AH49" t="s">
        <v>108</v>
      </c>
      <c r="AI49" t="s">
        <v>109</v>
      </c>
      <c r="AJ49" t="s">
        <v>115</v>
      </c>
      <c r="AK49" t="s">
        <v>116</v>
      </c>
      <c r="AM49" t="s">
        <v>119</v>
      </c>
      <c r="AO49" t="s">
        <v>123</v>
      </c>
    </row>
    <row r="50" spans="1:41" x14ac:dyDescent="0.25">
      <c r="A50">
        <v>49</v>
      </c>
      <c r="B50" s="3" t="s">
        <v>50</v>
      </c>
      <c r="C50" s="6">
        <v>8903287023941</v>
      </c>
      <c r="D50" s="7" t="str">
        <f>VLOOKUP(C50,[1]Sheet1!$A$2:$E$1223,2,0)&amp;", "&amp;VLOOKUP(C50,[1]Sheet1!$A$2:$E$1223,3,0)&amp;", "&amp;VLOOKUP(C50,[1]Sheet1!$A$2:$E$1223,5,0)</f>
        <v>SENORITA WXS, FLU, 38790</v>
      </c>
      <c r="E50" t="s">
        <v>1</v>
      </c>
      <c r="F50" t="s">
        <v>2</v>
      </c>
      <c r="G50" t="s">
        <v>182</v>
      </c>
      <c r="H50">
        <v>38790</v>
      </c>
      <c r="I50">
        <f>VLOOKUP(C50,[1]Sheet1!$A$363:$E$1218,5,0)</f>
        <v>38790</v>
      </c>
      <c r="J50" s="2">
        <f t="shared" ref="J50:J55" si="2">H50-(0.04*H50)</f>
        <v>37238.400000000001</v>
      </c>
      <c r="K50" s="2" t="str">
        <f>VLOOKUP(B50,'[2]WM-FLM'!$B$2:$AO$65,40,0)</f>
        <v>C</v>
      </c>
      <c r="L50" t="s">
        <v>73</v>
      </c>
      <c r="M50">
        <v>6.5</v>
      </c>
      <c r="N50">
        <v>1000</v>
      </c>
      <c r="O50">
        <v>66</v>
      </c>
      <c r="P50">
        <v>5</v>
      </c>
      <c r="Q50">
        <v>8.9</v>
      </c>
      <c r="R50">
        <v>8.8999999999999996E-2</v>
      </c>
      <c r="S50" t="s">
        <v>81</v>
      </c>
      <c r="T50" t="s">
        <v>83</v>
      </c>
      <c r="X50" t="s">
        <v>100</v>
      </c>
      <c r="Y50" t="s">
        <v>101</v>
      </c>
      <c r="AE50" t="s">
        <v>105</v>
      </c>
      <c r="AF50" t="s">
        <v>106</v>
      </c>
      <c r="AG50" t="s">
        <v>107</v>
      </c>
      <c r="AH50" t="s">
        <v>108</v>
      </c>
      <c r="AI50" t="s">
        <v>109</v>
      </c>
      <c r="AK50" t="s">
        <v>116</v>
      </c>
      <c r="AM50" t="s">
        <v>119</v>
      </c>
      <c r="AN50" t="s">
        <v>121</v>
      </c>
      <c r="AO50" t="s">
        <v>123</v>
      </c>
    </row>
    <row r="51" spans="1:41" x14ac:dyDescent="0.25">
      <c r="A51">
        <v>50</v>
      </c>
      <c r="B51" s="3" t="s">
        <v>51</v>
      </c>
      <c r="C51" s="6">
        <v>8903287024139</v>
      </c>
      <c r="D51" s="7" t="str">
        <f>VLOOKUP(C51,[1]Sheet1!$A$2:$E$1223,2,0)&amp;", "&amp;VLOOKUP(C51,[1]Sheet1!$A$2:$E$1223,3,0)&amp;", "&amp;VLOOKUP(C51,[1]Sheet1!$A$2:$E$1223,5,0)</f>
        <v>ELENA ZX, FLU, 34590</v>
      </c>
      <c r="E51" t="s">
        <v>1</v>
      </c>
      <c r="F51" t="s">
        <v>2</v>
      </c>
      <c r="G51" t="s">
        <v>183</v>
      </c>
      <c r="H51">
        <v>34590</v>
      </c>
      <c r="I51">
        <f>VLOOKUP(C51,[1]Sheet1!$A$363:$E$1218,5,0)</f>
        <v>34590</v>
      </c>
      <c r="J51" s="2">
        <f t="shared" si="2"/>
        <v>33206.400000000001</v>
      </c>
      <c r="K51" s="2" t="str">
        <f>VLOOKUP(B51,'[2]WM-FLM'!$B$2:$AO$65,40,0)</f>
        <v>C</v>
      </c>
      <c r="L51" t="s">
        <v>73</v>
      </c>
      <c r="M51">
        <v>6.5</v>
      </c>
      <c r="N51">
        <v>1000</v>
      </c>
      <c r="O51">
        <v>60</v>
      </c>
    </row>
    <row r="52" spans="1:41" x14ac:dyDescent="0.25">
      <c r="A52">
        <v>51</v>
      </c>
      <c r="B52" s="3" t="s">
        <v>52</v>
      </c>
      <c r="C52" s="6">
        <v>8903287024320</v>
      </c>
      <c r="D52" s="7" t="str">
        <f>VLOOKUP(C52,[1]Sheet1!$A$2:$E$1223,2,0)&amp;", "&amp;VLOOKUP(C52,[1]Sheet1!$A$2:$E$1223,3,0)&amp;", "&amp;VLOOKUP(C52,[1]Sheet1!$A$2:$E$1223,5,0)</f>
        <v>ELITE ZXS, FLU, 39290</v>
      </c>
      <c r="E52" t="s">
        <v>1</v>
      </c>
      <c r="F52" t="s">
        <v>2</v>
      </c>
      <c r="G52" t="s">
        <v>184</v>
      </c>
      <c r="H52">
        <v>39290</v>
      </c>
      <c r="I52">
        <f>VLOOKUP(C52,[1]Sheet1!$A$363:$E$1218,5,0)</f>
        <v>39290</v>
      </c>
      <c r="J52" s="2">
        <f t="shared" si="2"/>
        <v>37718.400000000001</v>
      </c>
      <c r="K52" s="2" t="str">
        <f>VLOOKUP(B52,'[2]WM-FLM'!$B$2:$AO$65,40,0)</f>
        <v>C</v>
      </c>
      <c r="L52" t="s">
        <v>73</v>
      </c>
    </row>
    <row r="53" spans="1:41" x14ac:dyDescent="0.25">
      <c r="A53">
        <v>52</v>
      </c>
      <c r="B53" s="3" t="s">
        <v>53</v>
      </c>
      <c r="C53" s="6">
        <v>8903287024597</v>
      </c>
      <c r="D53" s="7" t="str">
        <f>VLOOKUP(C53,[1]Sheet1!$A$2:$E$1223,2,0)&amp;", "&amp;VLOOKUP(C53,[1]Sheet1!$A$2:$E$1223,3,0)&amp;", "&amp;VLOOKUP(C53,[1]Sheet1!$A$2:$E$1223,5,0)</f>
        <v>SENATOR SMART TOUCH SX 8514, FLU, 50490</v>
      </c>
      <c r="E53" t="s">
        <v>1</v>
      </c>
      <c r="F53" t="s">
        <v>2</v>
      </c>
      <c r="G53" t="s">
        <v>185</v>
      </c>
      <c r="H53">
        <v>50490</v>
      </c>
      <c r="I53">
        <f>VLOOKUP(C53,[1]Sheet1!$A$363:$E$1218,5,0)</f>
        <v>50490</v>
      </c>
      <c r="J53" s="2">
        <f t="shared" si="2"/>
        <v>48470.400000000001</v>
      </c>
      <c r="K53" s="2" t="str">
        <f>VLOOKUP(B53,'[2]WM-FLM'!$B$2:$AO$65,40,0)</f>
        <v>A</v>
      </c>
      <c r="L53" t="s">
        <v>73</v>
      </c>
    </row>
    <row r="54" spans="1:41" x14ac:dyDescent="0.25">
      <c r="A54">
        <v>53</v>
      </c>
      <c r="B54" s="3" t="s">
        <v>54</v>
      </c>
      <c r="C54" s="6">
        <v>8903287024382</v>
      </c>
      <c r="D54" s="7" t="str">
        <f>VLOOKUP(C54,[1]Sheet1!$A$2:$E$1223,2,0)&amp;", "&amp;VLOOKUP(C54,[1]Sheet1!$A$2:$E$1223,3,0)&amp;", "&amp;VLOOKUP(C54,[1]Sheet1!$A$2:$E$1223,5,0)</f>
        <v>SERENA WXS, FLU, 39790</v>
      </c>
      <c r="E54" t="s">
        <v>1</v>
      </c>
      <c r="F54" t="s">
        <v>2</v>
      </c>
      <c r="G54" t="s">
        <v>186</v>
      </c>
      <c r="H54">
        <v>39790</v>
      </c>
      <c r="I54">
        <f>VLOOKUP(C54,[1]Sheet1!$A$363:$E$1218,5,0)</f>
        <v>39790</v>
      </c>
      <c r="J54" s="2">
        <f t="shared" si="2"/>
        <v>38198.400000000001</v>
      </c>
      <c r="K54" s="2" t="str">
        <f>VLOOKUP(B54,'[2]WM-FLM'!$B$2:$AO$65,40,0)</f>
        <v>C</v>
      </c>
      <c r="L54" t="s">
        <v>73</v>
      </c>
    </row>
    <row r="55" spans="1:41" x14ac:dyDescent="0.25">
      <c r="A55">
        <v>54</v>
      </c>
      <c r="B55" s="3" t="s">
        <v>55</v>
      </c>
      <c r="C55" s="6">
        <v>8903287026256</v>
      </c>
      <c r="D55" s="7" t="str">
        <f>VLOOKUP(C55,[1]Sheet1!$A$2:$E$1223,2,0)&amp;", "&amp;VLOOKUP(C55,[1]Sheet1!$A$2:$E$1223,3,0)&amp;", "&amp;VLOOKUP(C55,[1]Sheet1!$A$2:$E$1223,5,0)</f>
        <v>EXECUTIVE SMART TOUCH SXS 9014, FLU, 51990</v>
      </c>
      <c r="E55" t="s">
        <v>1</v>
      </c>
      <c r="F55" t="s">
        <v>2</v>
      </c>
      <c r="G55" t="s">
        <v>187</v>
      </c>
      <c r="H55">
        <v>51990</v>
      </c>
      <c r="I55">
        <f>VLOOKUP(C55,[1]Sheet1!$A$363:$E$1218,5,0)</f>
        <v>51990</v>
      </c>
      <c r="J55" s="2">
        <f t="shared" si="2"/>
        <v>49910.400000000001</v>
      </c>
      <c r="K55" s="2" t="str">
        <f>VLOOKUP(B55,'[2]WM-FLM'!$B$2:$AO$65,40,0)</f>
        <v>A+</v>
      </c>
      <c r="L55" t="s">
        <v>73</v>
      </c>
    </row>
    <row r="56" spans="1:41" x14ac:dyDescent="0.25">
      <c r="A56">
        <v>55</v>
      </c>
      <c r="B56" s="1" t="s">
        <v>56</v>
      </c>
      <c r="C56" s="7" t="e">
        <f>VLOOKUP(B56,[1]Sheet1!$A$2:$E$1223,2,0)&amp;", "&amp;VLOOKUP(B56,[1]Sheet1!$A$2:$E$1223,3,0)&amp;", "&amp;VLOOKUP(B56,[1]Sheet1!$A$2:$E$1223,5,0)</f>
        <v>#N/A</v>
      </c>
      <c r="D56" s="7" t="e">
        <f>VLOOKUP(C56,[1]Sheet1!$A$2:$E$1223,2,0)&amp;", "&amp;VLOOKUP(C56,[1]Sheet1!$A$2:$E$1223,3,0)&amp;", "&amp;VLOOKUP(C56,[1]Sheet1!$A$2:$E$1223,5,0)</f>
        <v>#N/A</v>
      </c>
      <c r="E56" t="s">
        <v>1</v>
      </c>
      <c r="F56" t="s">
        <v>2</v>
      </c>
      <c r="G56" t="s">
        <v>188</v>
      </c>
      <c r="H56">
        <v>47290</v>
      </c>
      <c r="I56" t="e">
        <f>VLOOKUP(C56,[1]Sheet1!$A$363:$E$1218,5,0)</f>
        <v>#N/A</v>
      </c>
      <c r="J56" s="2">
        <f>H56-(0*H56)</f>
        <v>47290</v>
      </c>
      <c r="K56" s="2" t="str">
        <f>VLOOKUP(B56,'[2]WM-FLM'!$B$2:$AO$65,40,0)</f>
        <v>B</v>
      </c>
      <c r="L56" t="s">
        <v>73</v>
      </c>
      <c r="M56">
        <v>8</v>
      </c>
      <c r="N56">
        <v>1400</v>
      </c>
      <c r="O56">
        <v>71</v>
      </c>
      <c r="P56">
        <v>5</v>
      </c>
      <c r="Q56">
        <v>8.9</v>
      </c>
      <c r="R56">
        <v>7.0000000000000007E-2</v>
      </c>
      <c r="S56" t="s">
        <v>81</v>
      </c>
      <c r="T56" t="s">
        <v>83</v>
      </c>
      <c r="U56" t="s">
        <v>97</v>
      </c>
      <c r="V56" t="s">
        <v>98</v>
      </c>
      <c r="W56" t="s">
        <v>99</v>
      </c>
      <c r="X56" t="s">
        <v>100</v>
      </c>
      <c r="Y56" t="s">
        <v>101</v>
      </c>
      <c r="Z56" t="s">
        <v>104</v>
      </c>
      <c r="AA56" t="s">
        <v>102</v>
      </c>
      <c r="AB56" t="s">
        <v>103</v>
      </c>
      <c r="AC56" t="s">
        <v>111</v>
      </c>
      <c r="AE56" t="s">
        <v>105</v>
      </c>
      <c r="AF56" t="s">
        <v>106</v>
      </c>
      <c r="AG56" t="s">
        <v>107</v>
      </c>
      <c r="AH56" t="s">
        <v>108</v>
      </c>
      <c r="AI56" t="s">
        <v>109</v>
      </c>
      <c r="AJ56" t="s">
        <v>115</v>
      </c>
      <c r="AK56" t="s">
        <v>116</v>
      </c>
      <c r="AL56" t="s">
        <v>117</v>
      </c>
      <c r="AM56" t="s">
        <v>119</v>
      </c>
      <c r="AN56" t="s">
        <v>121</v>
      </c>
      <c r="AO56" t="s">
        <v>123</v>
      </c>
    </row>
    <row r="57" spans="1:41" x14ac:dyDescent="0.25">
      <c r="A57">
        <v>56</v>
      </c>
      <c r="B57" s="1" t="s">
        <v>57</v>
      </c>
      <c r="C57" s="6">
        <v>8903287025938</v>
      </c>
      <c r="D57" s="7" t="str">
        <f>VLOOKUP(C57,[1]Sheet1!$A$2:$E$1223,2,0)&amp;", "&amp;VLOOKUP(C57,[1]Sheet1!$A$2:$E$1223,3,0)&amp;", "&amp;VLOOKUP(C57,[1]Sheet1!$A$2:$E$1223,5,0)</f>
        <v>DIVA AQUA SBS 6008, FLU, 27690</v>
      </c>
      <c r="E57" t="s">
        <v>1</v>
      </c>
      <c r="F57" t="s">
        <v>2</v>
      </c>
      <c r="G57" t="s">
        <v>189</v>
      </c>
      <c r="H57">
        <v>28190</v>
      </c>
      <c r="I57">
        <f>VLOOKUP(C57,[1]Sheet1!$A$363:$E$1218,5,0)</f>
        <v>27690</v>
      </c>
      <c r="J57" s="2">
        <f>H57-(0.04*H57)</f>
        <v>27062.400000000001</v>
      </c>
      <c r="K57" s="2" t="str">
        <f>VLOOKUP(B57,'[2]WM-FLM'!$B$2:$AO$65,40,0)</f>
        <v>C</v>
      </c>
      <c r="L57" t="s">
        <v>73</v>
      </c>
      <c r="M57">
        <v>6</v>
      </c>
      <c r="N57">
        <v>800</v>
      </c>
      <c r="O57">
        <v>60</v>
      </c>
      <c r="P57">
        <v>5</v>
      </c>
      <c r="Q57">
        <v>9</v>
      </c>
      <c r="R57">
        <v>8.8999999999999996E-2</v>
      </c>
      <c r="S57" t="s">
        <v>81</v>
      </c>
      <c r="V57" t="s">
        <v>98</v>
      </c>
      <c r="X57" t="s">
        <v>100</v>
      </c>
      <c r="Y57" t="s">
        <v>128</v>
      </c>
      <c r="AE57" t="s">
        <v>105</v>
      </c>
      <c r="AF57" t="s">
        <v>106</v>
      </c>
      <c r="AG57" t="s">
        <v>107</v>
      </c>
      <c r="AH57" t="s">
        <v>108</v>
      </c>
      <c r="AI57" t="s">
        <v>109</v>
      </c>
      <c r="AJ57" t="s">
        <v>115</v>
      </c>
      <c r="AO57" t="s">
        <v>123</v>
      </c>
    </row>
    <row r="58" spans="1:41" x14ac:dyDescent="0.25">
      <c r="A58">
        <v>57</v>
      </c>
      <c r="B58" s="1" t="s">
        <v>58</v>
      </c>
      <c r="C58" s="7" t="e">
        <f>VLOOKUP(B58,[1]Sheet1!$A$2:$E$1223,2,0)&amp;", "&amp;VLOOKUP(B58,[1]Sheet1!$A$2:$E$1223,3,0)&amp;", "&amp;VLOOKUP(B58,[1]Sheet1!$A$2:$E$1223,5,0)</f>
        <v>#N/A</v>
      </c>
      <c r="D58" s="7" t="e">
        <f>VLOOKUP(C58,[1]Sheet1!$A$2:$E$1223,2,0)&amp;", "&amp;VLOOKUP(C58,[1]Sheet1!$A$2:$E$1223,3,0)&amp;", "&amp;VLOOKUP(C58,[1]Sheet1!$A$2:$E$1223,5,0)</f>
        <v>#N/A</v>
      </c>
      <c r="E58" t="s">
        <v>1</v>
      </c>
      <c r="F58" t="s">
        <v>2</v>
      </c>
      <c r="G58" t="s">
        <v>190</v>
      </c>
      <c r="H58">
        <v>43790</v>
      </c>
      <c r="I58" t="e">
        <f>VLOOKUP(C58,[1]Sheet1!$A$363:$E$1218,5,0)</f>
        <v>#N/A</v>
      </c>
      <c r="J58" s="2">
        <f>H58-(0*H58)</f>
        <v>43790</v>
      </c>
      <c r="K58" s="2" t="str">
        <f>VLOOKUP(B58,'[2]WM-FLM'!$B$2:$AO$65,40,0)</f>
        <v>B</v>
      </c>
      <c r="L58" t="s">
        <v>73</v>
      </c>
      <c r="M58">
        <v>8</v>
      </c>
      <c r="N58">
        <v>1200</v>
      </c>
      <c r="O58">
        <v>71</v>
      </c>
      <c r="P58">
        <v>5</v>
      </c>
      <c r="Q58">
        <v>8.9</v>
      </c>
      <c r="R58">
        <v>7.0000000000000007E-2</v>
      </c>
      <c r="S58" t="s">
        <v>132</v>
      </c>
      <c r="T58" t="s">
        <v>83</v>
      </c>
      <c r="U58" t="s">
        <v>97</v>
      </c>
      <c r="V58" t="s">
        <v>98</v>
      </c>
      <c r="W58" t="s">
        <v>99</v>
      </c>
      <c r="X58" t="s">
        <v>100</v>
      </c>
      <c r="Y58" t="s">
        <v>101</v>
      </c>
      <c r="Z58" t="s">
        <v>104</v>
      </c>
      <c r="AA58" t="s">
        <v>102</v>
      </c>
      <c r="AB58" t="s">
        <v>103</v>
      </c>
      <c r="AC58" t="s">
        <v>111</v>
      </c>
      <c r="AE58" t="s">
        <v>105</v>
      </c>
      <c r="AF58" t="s">
        <v>106</v>
      </c>
      <c r="AG58" t="s">
        <v>107</v>
      </c>
      <c r="AH58" t="s">
        <v>108</v>
      </c>
      <c r="AI58" t="s">
        <v>109</v>
      </c>
      <c r="AJ58" t="s">
        <v>115</v>
      </c>
      <c r="AK58" t="s">
        <v>116</v>
      </c>
      <c r="AL58" t="s">
        <v>117</v>
      </c>
      <c r="AM58" t="s">
        <v>119</v>
      </c>
      <c r="AN58" t="s">
        <v>121</v>
      </c>
      <c r="AO58" t="s">
        <v>123</v>
      </c>
    </row>
    <row r="59" spans="1:41" x14ac:dyDescent="0.25">
      <c r="A59">
        <v>58</v>
      </c>
      <c r="B59" s="1" t="s">
        <v>59</v>
      </c>
      <c r="C59" s="7" t="e">
        <f>VLOOKUP(B59,[1]Sheet1!$A$2:$E$1223,2,0)&amp;", "&amp;VLOOKUP(B59,[1]Sheet1!$A$2:$E$1223,3,0)&amp;", "&amp;VLOOKUP(B59,[1]Sheet1!$A$2:$E$1223,5,0)</f>
        <v>#N/A</v>
      </c>
      <c r="D59" s="7" t="e">
        <f>VLOOKUP(C59,[1]Sheet1!$A$2:$E$1223,2,0)&amp;", "&amp;VLOOKUP(C59,[1]Sheet1!$A$2:$E$1223,3,0)&amp;", "&amp;VLOOKUP(C59,[1]Sheet1!$A$2:$E$1223,5,0)</f>
        <v>#N/A</v>
      </c>
      <c r="E59" t="s">
        <v>1</v>
      </c>
      <c r="F59" t="s">
        <v>2</v>
      </c>
      <c r="G59" t="s">
        <v>191</v>
      </c>
      <c r="H59">
        <v>53090</v>
      </c>
      <c r="I59" t="e">
        <f>VLOOKUP(C59,[1]Sheet1!$A$363:$E$1218,5,0)</f>
        <v>#N/A</v>
      </c>
      <c r="J59" s="2">
        <f>H59-(0.12*H59)</f>
        <v>46719.199999999997</v>
      </c>
      <c r="K59" s="2" t="str">
        <f>VLOOKUP(B59,'[2]WM-FLM'!$B$2:$AO$65,40,0)</f>
        <v>A+</v>
      </c>
      <c r="L59" t="s">
        <v>73</v>
      </c>
      <c r="M59">
        <v>9</v>
      </c>
      <c r="N59">
        <v>1400</v>
      </c>
      <c r="O59">
        <v>75</v>
      </c>
      <c r="P59">
        <v>5</v>
      </c>
      <c r="Q59">
        <v>8.9</v>
      </c>
      <c r="R59">
        <v>7.0000000000000007E-2</v>
      </c>
      <c r="S59" t="s">
        <v>124</v>
      </c>
      <c r="T59" t="s">
        <v>83</v>
      </c>
      <c r="U59" t="s">
        <v>97</v>
      </c>
      <c r="V59" t="s">
        <v>98</v>
      </c>
      <c r="W59" t="s">
        <v>99</v>
      </c>
      <c r="X59" t="s">
        <v>100</v>
      </c>
      <c r="Y59" t="s">
        <v>101</v>
      </c>
      <c r="Z59" t="s">
        <v>104</v>
      </c>
      <c r="AA59" t="s">
        <v>102</v>
      </c>
      <c r="AB59" t="s">
        <v>103</v>
      </c>
      <c r="AC59" t="s">
        <v>111</v>
      </c>
      <c r="AE59" t="s">
        <v>105</v>
      </c>
      <c r="AF59" t="s">
        <v>106</v>
      </c>
      <c r="AG59" t="s">
        <v>107</v>
      </c>
      <c r="AH59" t="s">
        <v>108</v>
      </c>
      <c r="AI59" t="s">
        <v>109</v>
      </c>
      <c r="AJ59" t="s">
        <v>115</v>
      </c>
      <c r="AK59" t="s">
        <v>116</v>
      </c>
      <c r="AL59" t="s">
        <v>117</v>
      </c>
      <c r="AM59" t="s">
        <v>119</v>
      </c>
      <c r="AN59" t="s">
        <v>121</v>
      </c>
      <c r="AO59" t="s">
        <v>123</v>
      </c>
    </row>
    <row r="60" spans="1:41" x14ac:dyDescent="0.25">
      <c r="A60">
        <v>59</v>
      </c>
      <c r="B60" s="1" t="s">
        <v>60</v>
      </c>
      <c r="C60" s="6">
        <v>8903287026881</v>
      </c>
      <c r="D60" s="7" t="str">
        <f>VLOOKUP(C60,[1]Sheet1!$A$2:$E$1223,2,0)&amp;", "&amp;VLOOKUP(C60,[1]Sheet1!$A$2:$E$1223,3,0)&amp;", "&amp;VLOOKUP(C60,[1]Sheet1!$A$2:$E$1223,5,0)</f>
        <v>SENATOR SXN 8014, FLU, 45490</v>
      </c>
      <c r="E60" t="s">
        <v>1</v>
      </c>
      <c r="F60" t="s">
        <v>2</v>
      </c>
      <c r="G60" t="s">
        <v>192</v>
      </c>
      <c r="H60">
        <v>47090</v>
      </c>
      <c r="I60">
        <f>VLOOKUP(C60,[1]Sheet1!$A$363:$E$1218,5,0)</f>
        <v>45490</v>
      </c>
      <c r="J60" s="2">
        <f>H60-(0*H60)</f>
        <v>47090</v>
      </c>
      <c r="K60" s="2" t="str">
        <f>VLOOKUP(B60,'[2]WM-FLM'!$B$2:$AO$65,40,0)</f>
        <v>B</v>
      </c>
      <c r="L60" t="s">
        <v>73</v>
      </c>
      <c r="M60">
        <v>8</v>
      </c>
      <c r="N60">
        <v>1400</v>
      </c>
      <c r="O60">
        <v>71</v>
      </c>
      <c r="P60">
        <v>5</v>
      </c>
      <c r="Q60">
        <v>8.9</v>
      </c>
      <c r="R60">
        <v>7.0000000000000007E-2</v>
      </c>
      <c r="S60" t="s">
        <v>81</v>
      </c>
      <c r="T60" t="s">
        <v>83</v>
      </c>
      <c r="U60" t="s">
        <v>97</v>
      </c>
      <c r="V60" t="s">
        <v>98</v>
      </c>
      <c r="W60" t="s">
        <v>99</v>
      </c>
      <c r="X60" t="s">
        <v>100</v>
      </c>
      <c r="Y60" t="s">
        <v>101</v>
      </c>
      <c r="Z60" t="s">
        <v>104</v>
      </c>
      <c r="AA60" t="s">
        <v>102</v>
      </c>
      <c r="AB60" t="s">
        <v>103</v>
      </c>
      <c r="AC60" t="s">
        <v>111</v>
      </c>
      <c r="AE60" t="s">
        <v>105</v>
      </c>
      <c r="AF60" t="s">
        <v>106</v>
      </c>
      <c r="AG60" t="s">
        <v>107</v>
      </c>
      <c r="AH60" t="s">
        <v>108</v>
      </c>
      <c r="AI60" t="s">
        <v>109</v>
      </c>
      <c r="AJ60" t="s">
        <v>115</v>
      </c>
      <c r="AK60" t="s">
        <v>116</v>
      </c>
      <c r="AL60" t="s">
        <v>117</v>
      </c>
      <c r="AM60" t="s">
        <v>119</v>
      </c>
      <c r="AN60" t="s">
        <v>121</v>
      </c>
      <c r="AO60" t="s">
        <v>123</v>
      </c>
    </row>
    <row r="61" spans="1:41" x14ac:dyDescent="0.25">
      <c r="A61">
        <v>60</v>
      </c>
      <c r="B61" s="1" t="s">
        <v>61</v>
      </c>
      <c r="C61" s="7" t="e">
        <f>VLOOKUP(B61,[1]Sheet1!$A$2:$E$1223,2,0)&amp;", "&amp;VLOOKUP(B61,[1]Sheet1!$A$2:$E$1223,3,0)&amp;", "&amp;VLOOKUP(B61,[1]Sheet1!$A$2:$E$1223,5,0)</f>
        <v>#N/A</v>
      </c>
      <c r="D61" s="7" t="e">
        <f>VLOOKUP(C61,[1]Sheet1!$A$2:$E$1223,2,0)&amp;", "&amp;VLOOKUP(C61,[1]Sheet1!$A$2:$E$1223,3,0)&amp;", "&amp;VLOOKUP(C61,[1]Sheet1!$A$2:$E$1223,5,0)</f>
        <v>#N/A</v>
      </c>
      <c r="E61" t="s">
        <v>1</v>
      </c>
      <c r="F61" t="s">
        <v>2</v>
      </c>
      <c r="G61" t="s">
        <v>193</v>
      </c>
      <c r="H61">
        <v>52090</v>
      </c>
      <c r="I61" t="e">
        <f>VLOOKUP(C61,[1]Sheet1!$A$363:$E$1218,5,0)</f>
        <v>#N/A</v>
      </c>
      <c r="J61" s="2">
        <f>H61-(0.12*H61)</f>
        <v>45839.199999999997</v>
      </c>
      <c r="K61" s="2" t="str">
        <f>VLOOKUP(B61,'[2]WM-FLM'!$B$2:$AO$65,40,0)</f>
        <v>A+</v>
      </c>
      <c r="L61" t="s">
        <v>73</v>
      </c>
      <c r="M61">
        <v>9</v>
      </c>
      <c r="N61">
        <v>1400</v>
      </c>
      <c r="O61">
        <v>75</v>
      </c>
      <c r="P61">
        <v>5</v>
      </c>
      <c r="Q61">
        <v>8.9</v>
      </c>
      <c r="R61">
        <v>7.0000000000000007E-2</v>
      </c>
      <c r="S61" t="s">
        <v>133</v>
      </c>
      <c r="T61" t="s">
        <v>83</v>
      </c>
      <c r="U61" t="s">
        <v>97</v>
      </c>
      <c r="V61" t="s">
        <v>98</v>
      </c>
      <c r="W61" t="s">
        <v>99</v>
      </c>
      <c r="X61" t="s">
        <v>100</v>
      </c>
      <c r="Y61" t="s">
        <v>101</v>
      </c>
      <c r="Z61" t="s">
        <v>104</v>
      </c>
      <c r="AA61" t="s">
        <v>102</v>
      </c>
      <c r="AB61" t="s">
        <v>103</v>
      </c>
      <c r="AC61" t="s">
        <v>111</v>
      </c>
      <c r="AE61" t="s">
        <v>105</v>
      </c>
      <c r="AF61" t="s">
        <v>106</v>
      </c>
      <c r="AG61" t="s">
        <v>107</v>
      </c>
      <c r="AH61" t="s">
        <v>108</v>
      </c>
      <c r="AI61" t="s">
        <v>109</v>
      </c>
      <c r="AJ61" t="s">
        <v>115</v>
      </c>
      <c r="AK61" t="s">
        <v>116</v>
      </c>
      <c r="AL61" t="s">
        <v>117</v>
      </c>
      <c r="AM61" t="s">
        <v>119</v>
      </c>
      <c r="AN61" t="s">
        <v>121</v>
      </c>
      <c r="AO61" t="s">
        <v>123</v>
      </c>
    </row>
    <row r="62" spans="1:41" x14ac:dyDescent="0.25">
      <c r="A62">
        <v>61</v>
      </c>
      <c r="B62" s="1" t="s">
        <v>62</v>
      </c>
      <c r="C62" s="7" t="e">
        <f>VLOOKUP(B62,[1]Sheet1!$A$2:$E$1223,2,0)&amp;", "&amp;VLOOKUP(B62,[1]Sheet1!$A$2:$E$1223,3,0)&amp;", "&amp;VLOOKUP(B62,[1]Sheet1!$A$2:$E$1223,5,0)</f>
        <v>#N/A</v>
      </c>
      <c r="D62" s="7" t="e">
        <f>VLOOKUP(C62,[1]Sheet1!$A$2:$E$1223,2,0)&amp;", "&amp;VLOOKUP(C62,[1]Sheet1!$A$2:$E$1223,3,0)&amp;", "&amp;VLOOKUP(C62,[1]Sheet1!$A$2:$E$1223,5,0)</f>
        <v>#N/A</v>
      </c>
      <c r="E62" t="s">
        <v>1</v>
      </c>
      <c r="F62" t="s">
        <v>2</v>
      </c>
      <c r="G62" t="s">
        <v>194</v>
      </c>
      <c r="H62">
        <v>45990</v>
      </c>
      <c r="I62" t="e">
        <f>VLOOKUP(C62,[1]Sheet1!$A$363:$E$1218,5,0)</f>
        <v>#N/A</v>
      </c>
      <c r="J62" s="2">
        <f>H62-(0*H62)</f>
        <v>45990</v>
      </c>
      <c r="K62" s="2" t="str">
        <f>VLOOKUP(B62,'[2]WM-FLM'!$B$2:$AO$65,40,0)</f>
        <v>B</v>
      </c>
      <c r="L62" t="s">
        <v>73</v>
      </c>
      <c r="M62">
        <v>8</v>
      </c>
      <c r="N62">
        <v>1200</v>
      </c>
      <c r="O62">
        <v>71</v>
      </c>
      <c r="P62">
        <v>5</v>
      </c>
      <c r="Q62">
        <v>8.9</v>
      </c>
      <c r="R62">
        <v>7.0000000000000007E-2</v>
      </c>
      <c r="S62" t="s">
        <v>133</v>
      </c>
      <c r="T62" t="s">
        <v>83</v>
      </c>
      <c r="U62" t="s">
        <v>97</v>
      </c>
      <c r="V62" t="s">
        <v>98</v>
      </c>
      <c r="W62" t="s">
        <v>99</v>
      </c>
      <c r="X62" t="s">
        <v>100</v>
      </c>
      <c r="Y62" t="s">
        <v>101</v>
      </c>
      <c r="Z62" t="s">
        <v>104</v>
      </c>
      <c r="AA62" t="s">
        <v>102</v>
      </c>
      <c r="AB62" t="s">
        <v>103</v>
      </c>
      <c r="AC62" t="s">
        <v>111</v>
      </c>
      <c r="AE62" t="s">
        <v>105</v>
      </c>
      <c r="AF62" t="s">
        <v>106</v>
      </c>
      <c r="AG62" t="s">
        <v>107</v>
      </c>
      <c r="AH62" t="s">
        <v>108</v>
      </c>
      <c r="AI62" t="s">
        <v>109</v>
      </c>
      <c r="AJ62" t="s">
        <v>115</v>
      </c>
      <c r="AK62" t="s">
        <v>116</v>
      </c>
      <c r="AL62" t="s">
        <v>117</v>
      </c>
      <c r="AM62" t="s">
        <v>119</v>
      </c>
      <c r="AN62" t="s">
        <v>121</v>
      </c>
      <c r="AO62" t="s">
        <v>123</v>
      </c>
    </row>
    <row r="63" spans="1:41" x14ac:dyDescent="0.25">
      <c r="A63">
        <v>62</v>
      </c>
      <c r="B63" s="1" t="s">
        <v>63</v>
      </c>
      <c r="C63" s="7" t="e">
        <f>VLOOKUP(B63,[1]Sheet1!$A$2:$E$1223,2,0)&amp;", "&amp;VLOOKUP(B63,[1]Sheet1!$A$2:$E$1223,3,0)&amp;", "&amp;VLOOKUP(B63,[1]Sheet1!$A$2:$E$1223,5,0)</f>
        <v>#N/A</v>
      </c>
      <c r="D63" s="7" t="e">
        <f>VLOOKUP(C63,[1]Sheet1!$A$2:$E$1223,2,0)&amp;", "&amp;VLOOKUP(C63,[1]Sheet1!$A$2:$E$1223,3,0)&amp;", "&amp;VLOOKUP(C63,[1]Sheet1!$A$2:$E$1223,5,0)</f>
        <v>#N/A</v>
      </c>
      <c r="E63" t="s">
        <v>1</v>
      </c>
      <c r="F63" t="s">
        <v>2</v>
      </c>
      <c r="G63" t="s">
        <v>195</v>
      </c>
      <c r="H63">
        <v>50090</v>
      </c>
      <c r="I63" t="e">
        <f>VLOOKUP(C63,[1]Sheet1!$A$363:$E$1218,5,0)</f>
        <v>#N/A</v>
      </c>
      <c r="J63" s="2">
        <f>H63-(0.12*H63)</f>
        <v>44079.199999999997</v>
      </c>
      <c r="K63" s="2" t="str">
        <f>VLOOKUP(B63,'[2]WM-FLM'!$B$2:$AO$65,40,0)</f>
        <v>A</v>
      </c>
      <c r="L63" t="s">
        <v>73</v>
      </c>
      <c r="M63">
        <v>9</v>
      </c>
      <c r="N63">
        <v>1400</v>
      </c>
      <c r="O63">
        <v>75</v>
      </c>
      <c r="P63">
        <v>5</v>
      </c>
      <c r="Q63">
        <v>8.9</v>
      </c>
      <c r="R63">
        <v>7.0000000000000007E-2</v>
      </c>
      <c r="S63" t="s">
        <v>81</v>
      </c>
      <c r="T63" t="s">
        <v>83</v>
      </c>
      <c r="U63" t="s">
        <v>97</v>
      </c>
      <c r="V63" t="s">
        <v>98</v>
      </c>
      <c r="W63" t="s">
        <v>99</v>
      </c>
      <c r="X63" t="s">
        <v>100</v>
      </c>
      <c r="Y63" t="s">
        <v>101</v>
      </c>
      <c r="Z63" t="s">
        <v>104</v>
      </c>
      <c r="AA63" t="s">
        <v>102</v>
      </c>
      <c r="AB63" t="s">
        <v>103</v>
      </c>
      <c r="AC63" t="s">
        <v>111</v>
      </c>
      <c r="AE63" t="s">
        <v>105</v>
      </c>
      <c r="AF63" t="s">
        <v>106</v>
      </c>
      <c r="AG63" t="s">
        <v>107</v>
      </c>
      <c r="AH63" t="s">
        <v>108</v>
      </c>
      <c r="AI63" t="s">
        <v>109</v>
      </c>
      <c r="AJ63" t="s">
        <v>115</v>
      </c>
      <c r="AK63" t="s">
        <v>116</v>
      </c>
      <c r="AL63" t="s">
        <v>117</v>
      </c>
      <c r="AM63" t="s">
        <v>119</v>
      </c>
      <c r="AN63" t="s">
        <v>121</v>
      </c>
      <c r="AO63" t="s">
        <v>123</v>
      </c>
    </row>
    <row r="64" spans="1:41" x14ac:dyDescent="0.25">
      <c r="A64">
        <v>63</v>
      </c>
      <c r="B64" s="1" t="s">
        <v>64</v>
      </c>
      <c r="C64" s="7" t="e">
        <f>VLOOKUP(B64,[1]Sheet1!$A$2:$E$1223,2,0)&amp;", "&amp;VLOOKUP(B64,[1]Sheet1!$A$2:$E$1223,3,0)&amp;", "&amp;VLOOKUP(B64,[1]Sheet1!$A$2:$E$1223,5,0)</f>
        <v>#N/A</v>
      </c>
      <c r="D64" s="7" t="e">
        <f>VLOOKUP(C64,[1]Sheet1!$A$2:$E$1223,2,0)&amp;", "&amp;VLOOKUP(C64,[1]Sheet1!$A$2:$E$1223,3,0)&amp;", "&amp;VLOOKUP(C64,[1]Sheet1!$A$2:$E$1223,5,0)</f>
        <v>#N/A</v>
      </c>
      <c r="E64" t="s">
        <v>1</v>
      </c>
      <c r="F64" t="s">
        <v>2</v>
      </c>
      <c r="G64" t="s">
        <v>196</v>
      </c>
      <c r="H64">
        <v>46490</v>
      </c>
      <c r="I64" t="e">
        <f>VLOOKUP(C64,[1]Sheet1!$A$363:$E$1218,5,0)</f>
        <v>#N/A</v>
      </c>
      <c r="J64" s="2">
        <f>H64-(0.12*H64)</f>
        <v>40911.199999999997</v>
      </c>
      <c r="K64" s="2" t="str">
        <f>VLOOKUP(B64,'[2]WM-FLM'!$B$2:$AO$65,40,0)</f>
        <v>B</v>
      </c>
      <c r="L64" t="s">
        <v>73</v>
      </c>
      <c r="M64">
        <v>8</v>
      </c>
      <c r="N64">
        <v>1200</v>
      </c>
      <c r="O64">
        <v>71</v>
      </c>
      <c r="P64">
        <v>5</v>
      </c>
      <c r="Q64">
        <v>8.9</v>
      </c>
      <c r="R64">
        <v>7.0000000000000007E-2</v>
      </c>
      <c r="S64" t="s">
        <v>124</v>
      </c>
      <c r="T64" t="s">
        <v>83</v>
      </c>
      <c r="U64" t="s">
        <v>97</v>
      </c>
      <c r="V64" t="s">
        <v>98</v>
      </c>
      <c r="W64" t="s">
        <v>99</v>
      </c>
      <c r="X64" t="s">
        <v>100</v>
      </c>
      <c r="Y64" t="s">
        <v>101</v>
      </c>
      <c r="Z64" t="s">
        <v>104</v>
      </c>
      <c r="AA64" t="s">
        <v>102</v>
      </c>
      <c r="AB64" t="s">
        <v>103</v>
      </c>
      <c r="AC64" t="s">
        <v>111</v>
      </c>
      <c r="AE64" t="s">
        <v>105</v>
      </c>
      <c r="AF64" t="s">
        <v>106</v>
      </c>
      <c r="AG64" t="s">
        <v>107</v>
      </c>
      <c r="AH64" t="s">
        <v>108</v>
      </c>
      <c r="AI64" t="s">
        <v>109</v>
      </c>
      <c r="AJ64" t="s">
        <v>115</v>
      </c>
      <c r="AK64" t="s">
        <v>116</v>
      </c>
      <c r="AL64" t="s">
        <v>117</v>
      </c>
      <c r="AM64" t="s">
        <v>119</v>
      </c>
      <c r="AN64" t="s">
        <v>121</v>
      </c>
      <c r="AO64" t="s">
        <v>123</v>
      </c>
    </row>
    <row r="65" spans="1:41" x14ac:dyDescent="0.25">
      <c r="A65">
        <v>64</v>
      </c>
      <c r="B65" s="1" t="s">
        <v>65</v>
      </c>
      <c r="C65" s="7" t="e">
        <f>VLOOKUP(B65,[1]Sheet1!$A$2:$E$1223,2,0)&amp;", "&amp;VLOOKUP(B65,[1]Sheet1!$A$2:$E$1223,3,0)&amp;", "&amp;VLOOKUP(B65,[1]Sheet1!$A$2:$E$1223,5,0)</f>
        <v>#N/A</v>
      </c>
      <c r="D65" s="7" t="e">
        <f>VLOOKUP(C65,[1]Sheet1!$A$2:$E$1223,2,0)&amp;", "&amp;VLOOKUP(C65,[1]Sheet1!$A$2:$E$1223,3,0)&amp;", "&amp;VLOOKUP(C65,[1]Sheet1!$A$2:$E$1223,5,0)</f>
        <v>#N/A</v>
      </c>
      <c r="E65" t="s">
        <v>1</v>
      </c>
      <c r="F65" t="s">
        <v>2</v>
      </c>
      <c r="G65" t="s">
        <v>197</v>
      </c>
      <c r="H65">
        <v>49090</v>
      </c>
      <c r="I65" t="e">
        <f>VLOOKUP(C65,[1]Sheet1!$A$363:$E$1218,5,0)</f>
        <v>#N/A</v>
      </c>
      <c r="J65" s="2">
        <f>H65-(0*H65)</f>
        <v>49090</v>
      </c>
      <c r="K65" s="2" t="str">
        <f>VLOOKUP(B65,'[2]WM-FLM'!$B$2:$AO$65,40,0)</f>
        <v>A</v>
      </c>
      <c r="L65" t="s">
        <v>73</v>
      </c>
      <c r="M65">
        <v>9</v>
      </c>
      <c r="N65">
        <v>1400</v>
      </c>
      <c r="O65">
        <v>75</v>
      </c>
      <c r="P65">
        <v>5</v>
      </c>
      <c r="Q65">
        <v>8.9</v>
      </c>
      <c r="R65">
        <v>7.0000000000000007E-2</v>
      </c>
      <c r="S65" t="s">
        <v>81</v>
      </c>
      <c r="T65" t="s">
        <v>83</v>
      </c>
      <c r="U65" t="s">
        <v>97</v>
      </c>
      <c r="V65" t="s">
        <v>98</v>
      </c>
      <c r="W65" t="s">
        <v>99</v>
      </c>
      <c r="X65" t="s">
        <v>100</v>
      </c>
      <c r="Y65" t="s">
        <v>101</v>
      </c>
      <c r="Z65" t="s">
        <v>104</v>
      </c>
      <c r="AA65" t="s">
        <v>102</v>
      </c>
      <c r="AB65" t="s">
        <v>103</v>
      </c>
      <c r="AC65" t="s">
        <v>111</v>
      </c>
      <c r="AE65" t="s">
        <v>105</v>
      </c>
      <c r="AF65" t="s">
        <v>106</v>
      </c>
      <c r="AG65" t="s">
        <v>107</v>
      </c>
      <c r="AH65" t="s">
        <v>108</v>
      </c>
      <c r="AI65" t="s">
        <v>109</v>
      </c>
      <c r="AJ65" t="s">
        <v>115</v>
      </c>
      <c r="AK65" t="s">
        <v>116</v>
      </c>
      <c r="AL65" t="s">
        <v>117</v>
      </c>
      <c r="AM65" t="s">
        <v>119</v>
      </c>
      <c r="AN65" t="s">
        <v>121</v>
      </c>
      <c r="AO65" t="s">
        <v>123</v>
      </c>
    </row>
  </sheetData>
  <autoFilter ref="A1:AO65" xr:uid="{CA1EDCEF-4BB4-4FAB-9B55-35EDA767705A}">
    <sortState xmlns:xlrd2="http://schemas.microsoft.com/office/spreadsheetml/2017/richdata2" ref="A2:AO65">
      <sortCondition ref="A1:A65"/>
    </sortState>
  </autoFilter>
  <hyperlinks>
    <hyperlink ref="B2" r:id="rId1" display="https://www.ifbappliances.com/senator-plus-msc-8014" xr:uid="{2BFF9FB4-F38E-41AE-B44A-D94964F269FC}"/>
    <hyperlink ref="B3" r:id="rId2" display="https://www.ifbappliances.com/senator-plus-sxc-8014" xr:uid="{6495DE02-7616-4C23-8ED3-17021C9D552C}"/>
    <hyperlink ref="B4" r:id="rId3" display="https://www.ifbappliances.com/executive-plus-mxc-1014" xr:uid="{0D1F1298-4561-43BD-93FD-C4EB5186045D}"/>
    <hyperlink ref="B5" r:id="rId4" display="https://www.ifbappliances.com/senator-plus-mxc-8014" xr:uid="{0C565327-4E8C-4DF4-A313-10F26CCA3D6F}"/>
    <hyperlink ref="B6" r:id="rId5" display="https://www.ifbappliances.com/executive-mxc-9014" xr:uid="{A9F6EC2D-1863-4E32-A205-DB43374BD7E8}"/>
    <hyperlink ref="B7" r:id="rId6" display="https://www.ifbappliances.com/senator-wss-steam-8-kg-1400-rpm" xr:uid="{BCA8894B-39A2-4787-A24B-0684E33FFB6D}"/>
    <hyperlink ref="B8" r:id="rId7" display="https://www.ifbappliances.com/senorita-sxs" xr:uid="{5FC05519-0A64-4DB0-88B3-828F56218435}"/>
    <hyperlink ref="B9" r:id="rId8" display="https://www.ifbappliances.com/senorita-vxs" xr:uid="{E28C8A79-3FD4-4472-A207-C4E016D99F2C}"/>
    <hyperlink ref="B10" r:id="rId9" display="https://www.ifbappliances.com/serena-zss" xr:uid="{41BE93C8-6EF5-4051-90DF-CD793166F877}"/>
    <hyperlink ref="B11" r:id="rId10" display="https://www.ifbappliances.com/elena-zss" xr:uid="{DA59EE59-C677-49D5-93C6-FD129D62E9A1}"/>
    <hyperlink ref="B12" r:id="rId11" display="https://www.ifbappliances.com/diva-aqua-vss-7010" xr:uid="{C748FFB0-2728-40BD-97B6-5297DD5F98E9}"/>
    <hyperlink ref="B13" r:id="rId12" display="https://www.ifbappliances.com/executive-mss-id" xr:uid="{EC6C5DD1-5E81-4F3F-BB0F-6684EDCA3CB0}"/>
    <hyperlink ref="B14" r:id="rId13" display="https://www.ifbappliances.com/senator-plus-srs" xr:uid="{E1720FFC-961E-4557-8193-4AD2D4DA20C2}"/>
    <hyperlink ref="B15" r:id="rId14" display="https://www.ifbappliances.com/senator-mxs" xr:uid="{0DAA61A4-BBFB-476F-B1D1-F6A3F557EA68}"/>
    <hyperlink ref="B16" r:id="rId15" display="https://www.ifbappliances.com/senator-sxs" xr:uid="{E6DA9D7E-DA46-4819-B7CE-3F313AEE4AFF}"/>
    <hyperlink ref="B17" r:id="rId16" display="https://www.ifbappliances.com/neo-diva-sxs-6-kg" xr:uid="{9F3F2739-E46E-404C-BDC8-1BDFCFABE6E3}"/>
    <hyperlink ref="B18" r:id="rId17" display="https://www.ifbappliances.com/elite-zss" xr:uid="{8EDAF75C-98CC-40DA-92BE-362375DF8459}"/>
    <hyperlink ref="B19" r:id="rId18" display="https://www.ifbappliances.com/senator-mxs-8014" xr:uid="{ECAE6009-DC56-46F8-9C8A-3251BAB61D5D}"/>
    <hyperlink ref="B20" r:id="rId19" display="https://www.ifbappliances.com/senator-zms" xr:uid="{78BBCB7C-75BE-45A5-B090-89956AC95DA3}"/>
    <hyperlink ref="B21" r:id="rId20" display="https://www.ifbappliances.com/senator-plus-sxs" xr:uid="{031C80D8-01CB-4504-9A52-BA96CF00D5E8}"/>
    <hyperlink ref="B22" r:id="rId21" display="https://www.ifbappliances.com/senator-plus-mxs" xr:uid="{C40A79AB-55AA-4AA6-83B2-256D64F5FC17}"/>
    <hyperlink ref="B23" r:id="rId22" display="https://www.ifbappliances.com/neo-diva-sxs-7010" xr:uid="{3A013574-0970-486B-A3A5-2319356CBF5B}"/>
    <hyperlink ref="B24" r:id="rId23" display="https://www.ifbappliances.com/diva-aqua-bxs" xr:uid="{54036F6D-B67F-43E1-ADD6-25BFCB68E5B5}"/>
    <hyperlink ref="B25" r:id="rId24" display="https://www.ifbappliances.com/diva-aqua-sxs-6-kg" xr:uid="{3F9573F5-C7AA-4E25-8456-E4A979591BE3}"/>
    <hyperlink ref="B26" r:id="rId25" display="https://www.ifbappliances.com/neo-diva-vxs-6010" xr:uid="{4422D3CB-4321-4C33-BDFF-12635ADE9153}"/>
    <hyperlink ref="B27" r:id="rId26" display="https://www.ifbappliances.com/executive-plus-vx-eco-inverter" xr:uid="{82CB9969-5EEF-490A-A63E-77443EF793F9}"/>
    <hyperlink ref="B28" r:id="rId27" display="https://www.ifbappliances.com/elena-plus-sxs" xr:uid="{6F0284EA-BD2C-4002-89C6-67C6912989FC}"/>
    <hyperlink ref="B29" r:id="rId28" display="https://www.ifbappliances.com/diva-aqua-sxs-7010" xr:uid="{2D1BFE76-BC7E-4EB7-AD4B-F06A69B2F04E}"/>
    <hyperlink ref="B30" r:id="rId29" display="https://www.ifbappliances.com/executive-mxs-id-1014" xr:uid="{B1F01F75-320A-427E-87C0-B6C2890B8F03}"/>
    <hyperlink ref="B31" r:id="rId30" display="https://www.ifbappliances.com/executive-plus-vsc-1014" xr:uid="{6AA3B22D-8CC6-46DC-90EC-6AD35D1CFCA4}"/>
    <hyperlink ref="B32" r:id="rId31" display="https://www.ifbappliances.com/diva-aqua-sbs-6-kg" xr:uid="{EC7637AC-C5FA-4D8F-9151-2237DBA2CDAF}"/>
    <hyperlink ref="B33" r:id="rId32" display="https://www.ifbappliances.com/elite-mxs-7012" xr:uid="{C1478A96-9F8C-4240-9744-F53F9575D121}"/>
    <hyperlink ref="B34" r:id="rId33" display="https://www.ifbappliances.com/senator-vss" xr:uid="{75186BAA-3B93-4379-93F8-8D83212562EF}"/>
    <hyperlink ref="B35" r:id="rId34" display="https://www.ifbappliances.com/executive-sxs-9014" xr:uid="{E451FEAB-C915-4627-B667-AD384D540B0B}"/>
    <hyperlink ref="B36" r:id="rId35" display="https://www.ifbappliances.com/elite-plus-wss-7-kg" xr:uid="{98D5D6A2-8552-4DBD-A1D5-6FD3EC741B9C}"/>
    <hyperlink ref="B37" r:id="rId36" display="https://www.ifbappliances.com/executive-msc-9014" xr:uid="{DB73A5F8-0504-400E-90EC-FFE18076175B}"/>
    <hyperlink ref="B38" r:id="rId37" display="https://www.ifbappliances.com/senator-vxs-8-kg-1200-rpm" xr:uid="{4DBCB38E-0018-436D-8891-1FE84285253A}"/>
    <hyperlink ref="B39" r:id="rId38" display="https://www.ifbappliances.com/elena-sbs" xr:uid="{8EADB10D-6FCE-499C-846F-ED35EFA0CF2E}"/>
    <hyperlink ref="B40" r:id="rId39" display="https://www.ifbappliances.com/neo-diva-vxs" xr:uid="{11279E49-E5E5-466E-A97D-47B8CB38DBAB}"/>
    <hyperlink ref="B41" r:id="rId40" display="https://www.ifbappliances.com/senator-plus-vxs" xr:uid="{D1C54457-09A0-42FF-BAE8-E0775E22538E}"/>
    <hyperlink ref="B42" r:id="rId41" display="https://www.ifbappliances.com/neo-diva-bxs" xr:uid="{D68F8C1B-2057-40A3-91CB-776953AB2CBF}"/>
    <hyperlink ref="B43" r:id="rId42" display="https://www.ifbappliances.com/senator-neo-mxs" xr:uid="{DAC1D83E-1179-4EA0-AC7D-96233735F094}"/>
    <hyperlink ref="B44" r:id="rId43" display="https://www.ifbappliances.com/senator-neo-sxs-8012" xr:uid="{F1271E9B-1DCF-41FE-BC7F-D7E1564DA90B}"/>
    <hyperlink ref="B45" r:id="rId44" display="https://www.ifbappliances.com/senator-neo-vxs-8012" xr:uid="{DD7279EA-4AF2-48F7-8474-9E323C3F0F59}"/>
    <hyperlink ref="B46" r:id="rId45" display="https://www.ifbappliances.com/neo-diva-wss" xr:uid="{8DD3C6E5-A2DB-4C57-8DE6-F657F5EF729F}"/>
    <hyperlink ref="B47" r:id="rId46" display="https://www.ifbappliances.com/eva-plus-zws" xr:uid="{5D651369-A00F-42B5-80D5-86B1991CF176}"/>
    <hyperlink ref="B48" r:id="rId47" display="https://www.ifbappliances.com/diva-aqua-vss-6-kg" xr:uid="{415FDC06-AD9A-4789-8876-CD826F741C45}"/>
    <hyperlink ref="B49" r:id="rId48" display="https://www.ifbappliances.com/elena-sxs" xr:uid="{6BF98E25-5BD9-4B5C-800F-8685E8C14FB4}"/>
    <hyperlink ref="B50" r:id="rId49" display="https://www.ifbappliances.com/senorita-wxs-6-5-kg-1000-rpm" xr:uid="{C3F393AB-1047-4E3C-98DE-6FB7B9729AA9}"/>
    <hyperlink ref="B51" r:id="rId50" display="https://www.ifbappliances.com/elena-zx-6-5-kg-1000-rpm" xr:uid="{DD58906F-0E34-4D0C-A315-21968892461F}"/>
    <hyperlink ref="B52" r:id="rId51" display="https://www.ifbappliances.com/elite-zxs-7kg-1000-rpm" xr:uid="{99B47864-C450-4D4A-ACAC-70534807B563}"/>
    <hyperlink ref="B53" r:id="rId52" display="https://www.ifbappliances.com/senator-smart-touch-sx-8-5-kg" xr:uid="{702B442B-CC61-42D6-8F72-11692C2A63E3}"/>
    <hyperlink ref="B54" r:id="rId53" display="https://www.ifbappliances.com/serena-wxs-7-kg-1200-rpm" xr:uid="{12943A98-5261-45E7-9607-1E9CBA3A7B06}"/>
    <hyperlink ref="B55" r:id="rId54" display="https://www.ifbappliances.com/executive-smart-touch-sxs" xr:uid="{276E7E78-243D-4499-A0E8-17C87B2B6116}"/>
    <hyperlink ref="B56" r:id="rId55" display="https://www.ifbappliances.com/senator-msn-8014" xr:uid="{7A0C15BA-96CF-42B8-87BF-BAC718667621}"/>
    <hyperlink ref="B57" r:id="rId56" display="https://www.ifbappliances.com/diva-aqua-sbs-6008" xr:uid="{342A2389-2585-478F-83C2-32B07781339D}"/>
    <hyperlink ref="B58" r:id="rId57" display="https://www.ifbappliances.com/senator-gxn-8012" xr:uid="{BE1F4185-4C07-4FAF-AA10-45B5B9B013B1}"/>
    <hyperlink ref="B59" r:id="rId58" display="https://www.ifbappliances.com/executive-mbn-9014k" xr:uid="{A37B8E7D-EB5D-4AB4-B070-4ABE36ACEBE5}"/>
    <hyperlink ref="B60" r:id="rId59" display="https://www.ifbappliances.com/senator-sxn-8014" xr:uid="{074CED2B-3A54-4D88-8535-D82478E15987}"/>
    <hyperlink ref="B61" r:id="rId60" display="https://www.ifbappliances.com/executive-bxn-9014k" xr:uid="{C8A5F6C4-2055-402C-93F5-9DA280376976}"/>
    <hyperlink ref="B62" r:id="rId61" display="https://www.ifbappliances.com/senator-bxn-8012" xr:uid="{AE05B690-D7B2-4BBB-B8CD-BE839FF44679}"/>
    <hyperlink ref="B63" r:id="rId62" display="https://www.ifbappliances.com/executive-msn-9014k" xr:uid="{BCCA01B0-8151-4B6F-9917-9F196AB501C1}"/>
    <hyperlink ref="B64" r:id="rId63" display="https://www.ifbappliances.com/senator-mbn-8012" xr:uid="{5E0811CF-A896-47A1-B6B6-7186A47C6910}"/>
    <hyperlink ref="B65" r:id="rId64" display="https://www.ifbappliances.com/executive-sxn-9014k" xr:uid="{D4EC54B3-4A0B-4BC0-BF72-A964825A00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5A9D-95E5-4E73-A89C-631504037512}">
  <dimension ref="A1"/>
  <sheetViews>
    <sheetView workbookViewId="0">
      <selection sqref="A1:L6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128D-E9DF-404F-A022-6157E7875683}">
  <sheetPr codeName="Sheet4"/>
  <dimension ref="A1:AP45"/>
  <sheetViews>
    <sheetView workbookViewId="0">
      <selection activeCell="A2" sqref="A2:L45"/>
    </sheetView>
  </sheetViews>
  <sheetFormatPr defaultRowHeight="15" x14ac:dyDescent="0.25"/>
  <cols>
    <col min="1" max="1" width="6.42578125" customWidth="1"/>
    <col min="2" max="2" width="20.7109375" bestFit="1" customWidth="1"/>
    <col min="3" max="3" width="20.7109375" customWidth="1"/>
    <col min="4" max="4" width="35.85546875" customWidth="1"/>
    <col min="6" max="6" width="8.28515625" bestFit="1" customWidth="1"/>
    <col min="7" max="7" width="35.140625" customWidth="1"/>
    <col min="8" max="8" width="17.85546875" customWidth="1"/>
    <col min="9" max="9" width="19.5703125" customWidth="1"/>
    <col min="10" max="10" width="11.42578125" bestFit="1" customWidth="1"/>
    <col min="11" max="11" width="11.42578125" customWidth="1"/>
    <col min="12" max="12" width="6.140625" bestFit="1" customWidth="1"/>
    <col min="13" max="13" width="8.85546875" bestFit="1" customWidth="1"/>
    <col min="14" max="14" width="5" bestFit="1" customWidth="1"/>
    <col min="15" max="15" width="7.42578125" bestFit="1" customWidth="1"/>
    <col min="16" max="16" width="13.42578125" bestFit="1" customWidth="1"/>
    <col min="17" max="17" width="19.42578125" bestFit="1" customWidth="1"/>
    <col min="18" max="18" width="20.140625" bestFit="1" customWidth="1"/>
    <col min="19" max="19" width="10.85546875" bestFit="1" customWidth="1"/>
    <col min="20" max="20" width="7.7109375" bestFit="1" customWidth="1"/>
    <col min="21" max="21" width="4.140625" bestFit="1" customWidth="1"/>
    <col min="22" max="22" width="12.28515625" bestFit="1" customWidth="1"/>
    <col min="23" max="23" width="6.7109375" bestFit="1" customWidth="1"/>
    <col min="24" max="24" width="12.42578125" bestFit="1" customWidth="1"/>
    <col min="25" max="25" width="15.42578125" bestFit="1" customWidth="1"/>
    <col min="26" max="26" width="14.28515625" bestFit="1" customWidth="1"/>
    <col min="27" max="27" width="17.42578125" bestFit="1" customWidth="1"/>
    <col min="28" max="28" width="11.7109375" bestFit="1" customWidth="1"/>
    <col min="29" max="29" width="16.140625" bestFit="1" customWidth="1"/>
    <col min="30" max="30" width="14.42578125" bestFit="1" customWidth="1"/>
    <col min="31" max="31" width="16.28515625" bestFit="1" customWidth="1"/>
    <col min="32" max="32" width="23.85546875" bestFit="1" customWidth="1"/>
    <col min="33" max="33" width="25.85546875" bestFit="1" customWidth="1"/>
    <col min="34" max="34" width="23.42578125" bestFit="1" customWidth="1"/>
    <col min="35" max="35" width="10" bestFit="1" customWidth="1"/>
    <col min="36" max="36" width="22.140625" bestFit="1" customWidth="1"/>
    <col min="37" max="37" width="14.85546875" bestFit="1" customWidth="1"/>
    <col min="38" max="38" width="15.140625" bestFit="1" customWidth="1"/>
    <col min="39" max="39" width="11.140625" bestFit="1" customWidth="1"/>
    <col min="40" max="40" width="24.28515625" bestFit="1" customWidth="1"/>
    <col min="41" max="41" width="10.28515625" bestFit="1" customWidth="1"/>
    <col min="42" max="42" width="11.140625" bestFit="1" customWidth="1"/>
  </cols>
  <sheetData>
    <row r="1" spans="1:42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 t="s">
        <v>838</v>
      </c>
      <c r="J1" s="4" t="s">
        <v>70</v>
      </c>
      <c r="K1" s="4" t="s">
        <v>840</v>
      </c>
      <c r="L1" s="4" t="s">
        <v>72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80</v>
      </c>
      <c r="T1" s="4" t="s">
        <v>82</v>
      </c>
      <c r="U1" s="4" t="s">
        <v>84</v>
      </c>
      <c r="V1" s="4" t="s">
        <v>85</v>
      </c>
      <c r="W1" s="4" t="s">
        <v>86</v>
      </c>
      <c r="X1" s="4" t="s">
        <v>87</v>
      </c>
      <c r="Y1" s="4" t="s">
        <v>88</v>
      </c>
      <c r="Z1" s="4" t="s">
        <v>89</v>
      </c>
      <c r="AA1" s="4" t="s">
        <v>90</v>
      </c>
      <c r="AB1" s="4" t="s">
        <v>91</v>
      </c>
      <c r="AC1" s="4" t="s">
        <v>110</v>
      </c>
      <c r="AD1" s="4" t="s">
        <v>129</v>
      </c>
      <c r="AE1" s="4" t="s">
        <v>274</v>
      </c>
      <c r="AF1" s="4" t="s">
        <v>92</v>
      </c>
      <c r="AG1" s="4" t="s">
        <v>93</v>
      </c>
      <c r="AH1" s="4" t="s">
        <v>94</v>
      </c>
      <c r="AI1" s="4" t="s">
        <v>95</v>
      </c>
      <c r="AJ1" s="4" t="s">
        <v>235</v>
      </c>
      <c r="AK1" s="4" t="s">
        <v>243</v>
      </c>
      <c r="AL1" s="4" t="s">
        <v>244</v>
      </c>
      <c r="AM1" s="4" t="s">
        <v>583</v>
      </c>
      <c r="AN1" s="4" t="s">
        <v>584</v>
      </c>
      <c r="AO1" s="4" t="s">
        <v>585</v>
      </c>
      <c r="AP1" s="4" t="s">
        <v>630</v>
      </c>
    </row>
    <row r="2" spans="1:42" x14ac:dyDescent="0.25">
      <c r="A2">
        <v>1</v>
      </c>
      <c r="B2" s="1" t="s">
        <v>586</v>
      </c>
      <c r="C2" s="6">
        <v>8903287022425</v>
      </c>
      <c r="D2" s="7" t="str">
        <f>VLOOKUP(C2,[1]Sheet1!$A$2:$E$1223,2,0)&amp;", "&amp;VLOOKUP(C2,[1]Sheet1!$A$2:$E$1223,3,0)&amp;", "&amp;VLOOKUP(C2,[1]Sheet1!$A$2:$E$1223,5,0)</f>
        <v>TL-SIBS 10.0KG AQUA, TLM, 41990</v>
      </c>
      <c r="E2" t="s">
        <v>1</v>
      </c>
      <c r="F2" t="s">
        <v>567</v>
      </c>
      <c r="G2" t="s">
        <v>134</v>
      </c>
      <c r="H2">
        <v>41990</v>
      </c>
      <c r="I2">
        <f>VLOOKUP(C2,[1]Sheet1!$A$2:$E$20000,5,0)</f>
        <v>41990</v>
      </c>
      <c r="J2" s="2">
        <f t="shared" ref="J2:J40" si="0">H2-(0.12*H2)</f>
        <v>36951.199999999997</v>
      </c>
      <c r="K2" s="2" t="str">
        <f>VLOOKUP(B2,'[2]WM-TLM'!$B$2:$BA$100,41,0)</f>
        <v>A+</v>
      </c>
      <c r="L2" t="s">
        <v>73</v>
      </c>
      <c r="M2">
        <v>10</v>
      </c>
      <c r="N2">
        <v>720</v>
      </c>
      <c r="O2">
        <v>46</v>
      </c>
      <c r="P2">
        <v>5</v>
      </c>
      <c r="Q2">
        <v>16</v>
      </c>
      <c r="R2">
        <v>1.2999999999999999E-2</v>
      </c>
      <c r="S2" t="s">
        <v>568</v>
      </c>
      <c r="U2" t="s">
        <v>97</v>
      </c>
      <c r="V2" t="s">
        <v>98</v>
      </c>
      <c r="W2" t="s">
        <v>569</v>
      </c>
      <c r="X2" t="s">
        <v>100</v>
      </c>
      <c r="Y2" t="s">
        <v>126</v>
      </c>
      <c r="Z2" t="s">
        <v>570</v>
      </c>
      <c r="AA2" t="s">
        <v>571</v>
      </c>
      <c r="AB2" t="s">
        <v>572</v>
      </c>
      <c r="AC2" t="s">
        <v>573</v>
      </c>
      <c r="AD2" t="s">
        <v>574</v>
      </c>
      <c r="AF2" t="s">
        <v>105</v>
      </c>
      <c r="AG2" t="s">
        <v>106</v>
      </c>
      <c r="AH2" t="s">
        <v>575</v>
      </c>
      <c r="AI2" t="s">
        <v>307</v>
      </c>
      <c r="AJ2" t="s">
        <v>576</v>
      </c>
      <c r="AK2" t="s">
        <v>577</v>
      </c>
      <c r="AL2" t="s">
        <v>578</v>
      </c>
      <c r="AM2" t="s">
        <v>579</v>
      </c>
      <c r="AN2" t="s">
        <v>580</v>
      </c>
      <c r="AO2" t="s">
        <v>581</v>
      </c>
      <c r="AP2" t="s">
        <v>582</v>
      </c>
    </row>
    <row r="3" spans="1:42" x14ac:dyDescent="0.25">
      <c r="A3">
        <v>2</v>
      </c>
      <c r="B3" s="1" t="s">
        <v>587</v>
      </c>
      <c r="C3" s="6">
        <v>8903287022418</v>
      </c>
      <c r="D3" s="7" t="str">
        <f>VLOOKUP(C3,[1]Sheet1!$A$2:$E$1223,2,0)&amp;", "&amp;VLOOKUP(C3,[1]Sheet1!$A$2:$E$1223,3,0)&amp;", "&amp;VLOOKUP(C3,[1]Sheet1!$A$2:$E$1223,5,0)</f>
        <v>TL-SLBS 9.0KG AQUA, TLM, 39990</v>
      </c>
      <c r="E3" t="s">
        <v>1</v>
      </c>
      <c r="F3" t="s">
        <v>567</v>
      </c>
      <c r="G3" t="s">
        <v>633</v>
      </c>
      <c r="H3">
        <v>39990</v>
      </c>
      <c r="I3">
        <f>VLOOKUP(C3,[1]Sheet1!$A$2:$E$20000,5,0)</f>
        <v>39990</v>
      </c>
      <c r="J3" s="2">
        <f t="shared" si="0"/>
        <v>35191.199999999997</v>
      </c>
      <c r="K3" s="2" t="str">
        <f>VLOOKUP(B3,'[2]WM-TLM'!$B$2:$BA$100,41,0)</f>
        <v>A+</v>
      </c>
      <c r="L3" t="s">
        <v>73</v>
      </c>
      <c r="M3">
        <v>9</v>
      </c>
      <c r="N3">
        <v>720</v>
      </c>
      <c r="O3">
        <v>46</v>
      </c>
      <c r="P3">
        <v>5</v>
      </c>
      <c r="Q3">
        <v>20</v>
      </c>
      <c r="R3">
        <v>1.2999999999999999E-2</v>
      </c>
      <c r="S3" t="s">
        <v>81</v>
      </c>
      <c r="U3" t="s">
        <v>97</v>
      </c>
      <c r="V3" t="s">
        <v>98</v>
      </c>
      <c r="W3" t="s">
        <v>569</v>
      </c>
      <c r="X3" t="s">
        <v>100</v>
      </c>
      <c r="Y3" t="s">
        <v>126</v>
      </c>
      <c r="AA3" t="s">
        <v>571</v>
      </c>
      <c r="AB3" t="s">
        <v>572</v>
      </c>
      <c r="AC3" t="s">
        <v>573</v>
      </c>
      <c r="AD3" t="s">
        <v>574</v>
      </c>
      <c r="AF3" t="s">
        <v>105</v>
      </c>
      <c r="AG3" t="s">
        <v>106</v>
      </c>
      <c r="AH3" t="s">
        <v>575</v>
      </c>
      <c r="AI3" t="s">
        <v>307</v>
      </c>
      <c r="AJ3" t="s">
        <v>576</v>
      </c>
      <c r="AK3" t="s">
        <v>577</v>
      </c>
      <c r="AL3" t="s">
        <v>578</v>
      </c>
      <c r="AM3" t="s">
        <v>579</v>
      </c>
      <c r="AN3" t="s">
        <v>580</v>
      </c>
      <c r="AO3" t="s">
        <v>581</v>
      </c>
      <c r="AP3" t="s">
        <v>582</v>
      </c>
    </row>
    <row r="4" spans="1:42" x14ac:dyDescent="0.25">
      <c r="A4">
        <v>3</v>
      </c>
      <c r="B4" s="1" t="s">
        <v>588</v>
      </c>
      <c r="C4" s="6">
        <v>8903287022395</v>
      </c>
      <c r="D4" s="7" t="str">
        <f>VLOOKUP(C4,[1]Sheet1!$A$2:$E$1223,2,0)&amp;", "&amp;VLOOKUP(C4,[1]Sheet1!$A$2:$E$1223,3,0)&amp;", "&amp;VLOOKUP(C4,[1]Sheet1!$A$2:$E$1223,5,0)</f>
        <v>TL-SPLS 8.0KG AQUA, TLM, 38950</v>
      </c>
      <c r="E4" t="s">
        <v>1</v>
      </c>
      <c r="F4" t="s">
        <v>567</v>
      </c>
      <c r="G4" t="s">
        <v>634</v>
      </c>
      <c r="H4">
        <v>38950</v>
      </c>
      <c r="I4">
        <f>VLOOKUP(C4,[1]Sheet1!$A$2:$E$20000,5,0)</f>
        <v>38950</v>
      </c>
      <c r="J4" s="2">
        <f t="shared" si="0"/>
        <v>34276</v>
      </c>
      <c r="K4" s="2" t="str">
        <f>VLOOKUP(B4,'[2]WM-TLM'!$B$2:$BA$100,41,0)</f>
        <v>A+</v>
      </c>
      <c r="L4" t="s">
        <v>73</v>
      </c>
      <c r="M4">
        <v>8</v>
      </c>
      <c r="N4">
        <v>720</v>
      </c>
      <c r="O4">
        <v>38</v>
      </c>
      <c r="P4">
        <v>5</v>
      </c>
      <c r="Q4">
        <v>17</v>
      </c>
      <c r="R4">
        <v>1.2999999999999999E-2</v>
      </c>
      <c r="S4" t="s">
        <v>81</v>
      </c>
      <c r="V4" t="s">
        <v>98</v>
      </c>
      <c r="W4" t="s">
        <v>569</v>
      </c>
      <c r="X4" t="s">
        <v>100</v>
      </c>
      <c r="Y4" t="s">
        <v>101</v>
      </c>
      <c r="AA4" t="s">
        <v>571</v>
      </c>
      <c r="AB4" t="s">
        <v>572</v>
      </c>
      <c r="AC4" t="s">
        <v>573</v>
      </c>
      <c r="AD4" t="s">
        <v>574</v>
      </c>
      <c r="AF4" t="s">
        <v>105</v>
      </c>
      <c r="AG4" t="s">
        <v>106</v>
      </c>
      <c r="AH4" t="s">
        <v>575</v>
      </c>
      <c r="AI4" t="s">
        <v>307</v>
      </c>
      <c r="AK4" t="s">
        <v>577</v>
      </c>
      <c r="AL4" t="s">
        <v>578</v>
      </c>
      <c r="AO4" t="s">
        <v>581</v>
      </c>
      <c r="AP4" t="s">
        <v>582</v>
      </c>
    </row>
    <row r="5" spans="1:42" x14ac:dyDescent="0.25">
      <c r="A5">
        <v>4</v>
      </c>
      <c r="B5" s="1" t="s">
        <v>589</v>
      </c>
      <c r="C5" s="6">
        <v>8903287022388</v>
      </c>
      <c r="D5" s="7" t="str">
        <f>VLOOKUP(C5,[1]Sheet1!$A$2:$E$1223,2,0)&amp;", "&amp;VLOOKUP(C5,[1]Sheet1!$A$2:$E$1223,3,0)&amp;", "&amp;VLOOKUP(C5,[1]Sheet1!$A$2:$E$1223,5,0)</f>
        <v>TL-SBRS 8.0KG AQUA, TLM, 38950</v>
      </c>
      <c r="E5" t="s">
        <v>1</v>
      </c>
      <c r="F5" t="s">
        <v>567</v>
      </c>
      <c r="G5" t="s">
        <v>635</v>
      </c>
      <c r="H5">
        <v>38950</v>
      </c>
      <c r="I5">
        <f>VLOOKUP(C5,[1]Sheet1!$A$2:$E$20000,5,0)</f>
        <v>38950</v>
      </c>
      <c r="J5" s="2">
        <f t="shared" si="0"/>
        <v>34276</v>
      </c>
      <c r="K5" s="2" t="str">
        <f>VLOOKUP(B5,'[2]WM-TLM'!$B$2:$BA$100,41,0)</f>
        <v>A+</v>
      </c>
      <c r="L5" t="s">
        <v>73</v>
      </c>
      <c r="M5">
        <v>8</v>
      </c>
      <c r="N5">
        <v>720</v>
      </c>
      <c r="O5">
        <v>38</v>
      </c>
      <c r="P5">
        <v>5</v>
      </c>
      <c r="Q5">
        <v>17</v>
      </c>
      <c r="R5">
        <v>1.2999999999999999E-2</v>
      </c>
      <c r="S5" t="s">
        <v>631</v>
      </c>
      <c r="U5" t="s">
        <v>97</v>
      </c>
      <c r="V5" t="s">
        <v>98</v>
      </c>
      <c r="W5" t="s">
        <v>569</v>
      </c>
      <c r="X5" t="s">
        <v>100</v>
      </c>
      <c r="Y5" t="s">
        <v>101</v>
      </c>
      <c r="AA5" t="s">
        <v>571</v>
      </c>
      <c r="AB5" t="s">
        <v>572</v>
      </c>
      <c r="AC5" t="s">
        <v>573</v>
      </c>
      <c r="AD5" t="s">
        <v>574</v>
      </c>
      <c r="AF5" t="s">
        <v>105</v>
      </c>
      <c r="AG5" t="s">
        <v>106</v>
      </c>
      <c r="AH5" t="s">
        <v>575</v>
      </c>
      <c r="AI5" t="s">
        <v>307</v>
      </c>
      <c r="AK5" t="s">
        <v>577</v>
      </c>
      <c r="AL5" t="s">
        <v>578</v>
      </c>
      <c r="AO5" t="s">
        <v>581</v>
      </c>
      <c r="AP5" t="s">
        <v>582</v>
      </c>
    </row>
    <row r="6" spans="1:42" x14ac:dyDescent="0.25">
      <c r="A6">
        <v>5</v>
      </c>
      <c r="B6" s="1" t="s">
        <v>590</v>
      </c>
      <c r="C6" s="6">
        <v>8903287022364</v>
      </c>
      <c r="D6" s="7" t="str">
        <f>VLOOKUP(C6,[1]Sheet1!$A$2:$E$1223,2,0)&amp;", "&amp;VLOOKUP(C6,[1]Sheet1!$A$2:$E$1223,3,0)&amp;", "&amp;VLOOKUP(C6,[1]Sheet1!$A$2:$E$1223,5,0)</f>
        <v>TL-RPSS 7.0KG AQUA, TLM, 30550</v>
      </c>
      <c r="E6" t="s">
        <v>1</v>
      </c>
      <c r="F6" t="s">
        <v>567</v>
      </c>
      <c r="G6" t="s">
        <v>636</v>
      </c>
      <c r="H6">
        <v>30550</v>
      </c>
      <c r="I6">
        <f>VLOOKUP(C6,[1]Sheet1!$A$2:$E$20000,5,0)</f>
        <v>30550</v>
      </c>
      <c r="J6" s="2">
        <f t="shared" si="0"/>
        <v>26884</v>
      </c>
      <c r="K6" s="2" t="str">
        <f>VLOOKUP(B6,'[2]WM-TLM'!$B$2:$BA$100,41,0)</f>
        <v>B</v>
      </c>
      <c r="L6" t="s">
        <v>73</v>
      </c>
      <c r="M6">
        <v>7</v>
      </c>
      <c r="N6">
        <v>720</v>
      </c>
      <c r="O6">
        <v>37</v>
      </c>
      <c r="P6">
        <v>5</v>
      </c>
      <c r="Q6">
        <v>18</v>
      </c>
      <c r="R6">
        <v>1.2999999999999999E-2</v>
      </c>
      <c r="S6" t="s">
        <v>132</v>
      </c>
      <c r="U6" t="s">
        <v>97</v>
      </c>
      <c r="V6" t="s">
        <v>98</v>
      </c>
      <c r="W6" t="s">
        <v>569</v>
      </c>
      <c r="X6" t="s">
        <v>100</v>
      </c>
      <c r="Y6" t="s">
        <v>101</v>
      </c>
      <c r="AA6" t="s">
        <v>571</v>
      </c>
      <c r="AB6" t="s">
        <v>572</v>
      </c>
      <c r="AC6" t="s">
        <v>573</v>
      </c>
      <c r="AF6" t="s">
        <v>105</v>
      </c>
      <c r="AG6" t="s">
        <v>106</v>
      </c>
      <c r="AH6" t="s">
        <v>575</v>
      </c>
      <c r="AI6" t="s">
        <v>307</v>
      </c>
      <c r="AK6" t="s">
        <v>577</v>
      </c>
      <c r="AL6" t="s">
        <v>578</v>
      </c>
      <c r="AO6" t="s">
        <v>581</v>
      </c>
      <c r="AP6" t="s">
        <v>582</v>
      </c>
    </row>
    <row r="7" spans="1:42" x14ac:dyDescent="0.25">
      <c r="A7">
        <v>6</v>
      </c>
      <c r="B7" s="1" t="s">
        <v>591</v>
      </c>
      <c r="C7" s="6">
        <v>8903287022357</v>
      </c>
      <c r="D7" s="7" t="str">
        <f>VLOOKUP(C7,[1]Sheet1!$A$2:$E$1223,2,0)&amp;", "&amp;VLOOKUP(C7,[1]Sheet1!$A$2:$E$1223,3,0)&amp;", "&amp;VLOOKUP(C7,[1]Sheet1!$A$2:$E$1223,5,0)</f>
        <v>TL-REGS 7.0KG AQUA, TLM, 29350</v>
      </c>
      <c r="E7" t="s">
        <v>1</v>
      </c>
      <c r="F7" t="s">
        <v>567</v>
      </c>
      <c r="G7" t="s">
        <v>637</v>
      </c>
      <c r="H7">
        <v>29350</v>
      </c>
      <c r="I7">
        <f>VLOOKUP(C7,[1]Sheet1!$A$2:$E$20000,5,0)</f>
        <v>29350</v>
      </c>
      <c r="J7" s="2">
        <f t="shared" si="0"/>
        <v>25828</v>
      </c>
      <c r="K7" s="2" t="str">
        <f>VLOOKUP(B7,'[2]WM-TLM'!$B$2:$BA$100,41,0)</f>
        <v>C</v>
      </c>
      <c r="L7" t="s">
        <v>73</v>
      </c>
      <c r="M7">
        <v>7</v>
      </c>
      <c r="N7">
        <v>720</v>
      </c>
      <c r="O7">
        <v>35</v>
      </c>
      <c r="P7">
        <v>5</v>
      </c>
      <c r="Q7">
        <v>16</v>
      </c>
      <c r="R7">
        <v>1.2999999999999999E-2</v>
      </c>
      <c r="S7" t="s">
        <v>132</v>
      </c>
      <c r="U7" t="s">
        <v>97</v>
      </c>
      <c r="V7" t="s">
        <v>98</v>
      </c>
      <c r="W7" t="s">
        <v>569</v>
      </c>
      <c r="X7" t="s">
        <v>100</v>
      </c>
      <c r="Y7" t="s">
        <v>101</v>
      </c>
      <c r="Z7" t="s">
        <v>570</v>
      </c>
      <c r="AA7" t="s">
        <v>571</v>
      </c>
      <c r="AB7" t="s">
        <v>572</v>
      </c>
      <c r="AC7" t="s">
        <v>573</v>
      </c>
      <c r="AF7" t="s">
        <v>105</v>
      </c>
      <c r="AG7" t="s">
        <v>106</v>
      </c>
      <c r="AH7" t="s">
        <v>575</v>
      </c>
      <c r="AI7" t="s">
        <v>307</v>
      </c>
      <c r="AK7" t="s">
        <v>577</v>
      </c>
      <c r="AL7" t="s">
        <v>578</v>
      </c>
    </row>
    <row r="8" spans="1:42" x14ac:dyDescent="0.25">
      <c r="A8">
        <v>7</v>
      </c>
      <c r="B8" s="1" t="s">
        <v>592</v>
      </c>
      <c r="C8" s="6">
        <v>8903287022371</v>
      </c>
      <c r="D8" s="7" t="str">
        <f>VLOOKUP(C8,[1]Sheet1!$A$2:$E$1223,2,0)&amp;", "&amp;VLOOKUP(C8,[1]Sheet1!$A$2:$E$1223,3,0)&amp;", "&amp;VLOOKUP(C8,[1]Sheet1!$A$2:$E$1223,5,0)</f>
        <v>TL-SPGS 7.0KG AQUA, TLM, 34450</v>
      </c>
      <c r="E8" t="s">
        <v>1</v>
      </c>
      <c r="F8" t="s">
        <v>567</v>
      </c>
      <c r="G8" t="s">
        <v>638</v>
      </c>
      <c r="H8">
        <v>34450</v>
      </c>
      <c r="I8">
        <f>VLOOKUP(C8,[1]Sheet1!$A$2:$E$20000,5,0)</f>
        <v>34450</v>
      </c>
      <c r="J8" s="2">
        <f t="shared" si="0"/>
        <v>30316</v>
      </c>
      <c r="K8" s="2" t="str">
        <f>VLOOKUP(B8,'[2]WM-TLM'!$B$2:$BA$100,41,0)</f>
        <v>B</v>
      </c>
      <c r="L8" t="s">
        <v>73</v>
      </c>
      <c r="M8">
        <v>7</v>
      </c>
      <c r="N8">
        <v>720</v>
      </c>
      <c r="O8">
        <v>37</v>
      </c>
      <c r="P8">
        <v>5</v>
      </c>
      <c r="Q8">
        <v>18</v>
      </c>
      <c r="R8">
        <v>1.2999999999999999E-2</v>
      </c>
      <c r="S8" t="s">
        <v>132</v>
      </c>
      <c r="U8" t="s">
        <v>97</v>
      </c>
      <c r="V8" t="s">
        <v>98</v>
      </c>
      <c r="W8" t="s">
        <v>569</v>
      </c>
      <c r="X8" t="s">
        <v>100</v>
      </c>
      <c r="Y8" t="s">
        <v>101</v>
      </c>
      <c r="AA8" t="s">
        <v>571</v>
      </c>
      <c r="AB8" t="s">
        <v>572</v>
      </c>
      <c r="AC8" t="s">
        <v>573</v>
      </c>
      <c r="AD8" t="s">
        <v>574</v>
      </c>
      <c r="AF8" t="s">
        <v>105</v>
      </c>
      <c r="AG8" t="s">
        <v>106</v>
      </c>
      <c r="AH8" t="s">
        <v>575</v>
      </c>
      <c r="AI8" t="s">
        <v>307</v>
      </c>
      <c r="AK8" t="s">
        <v>577</v>
      </c>
      <c r="AL8" t="s">
        <v>578</v>
      </c>
      <c r="AO8" t="s">
        <v>581</v>
      </c>
      <c r="AP8" t="s">
        <v>582</v>
      </c>
    </row>
    <row r="9" spans="1:42" x14ac:dyDescent="0.25">
      <c r="A9">
        <v>8</v>
      </c>
      <c r="B9" s="1" t="s">
        <v>593</v>
      </c>
      <c r="C9" s="6">
        <v>8903287022302</v>
      </c>
      <c r="D9" s="7" t="str">
        <f>VLOOKUP(C9,[1]Sheet1!$A$2:$E$1223,2,0)&amp;", "&amp;VLOOKUP(C9,[1]Sheet1!$A$2:$E$1223,3,0)&amp;", "&amp;VLOOKUP(C9,[1]Sheet1!$A$2:$E$1223,5,0)</f>
        <v>TL-RPSS 6.5KG AQUA, TLM, 28450</v>
      </c>
      <c r="E9" t="s">
        <v>1</v>
      </c>
      <c r="F9" t="s">
        <v>567</v>
      </c>
      <c r="G9" t="s">
        <v>639</v>
      </c>
      <c r="H9">
        <v>28450</v>
      </c>
      <c r="I9">
        <f>VLOOKUP(C9,[1]Sheet1!$A$2:$E$20000,5,0)</f>
        <v>28450</v>
      </c>
      <c r="J9" s="2">
        <f t="shared" si="0"/>
        <v>25036</v>
      </c>
      <c r="K9" s="2" t="str">
        <f>VLOOKUP(B9,'[2]WM-TLM'!$B$2:$BA$100,41,0)</f>
        <v>C</v>
      </c>
      <c r="L9" t="s">
        <v>73</v>
      </c>
      <c r="M9">
        <v>6.5</v>
      </c>
      <c r="N9">
        <v>720</v>
      </c>
      <c r="O9">
        <v>35</v>
      </c>
      <c r="P9">
        <v>5</v>
      </c>
      <c r="Q9">
        <v>18</v>
      </c>
      <c r="R9">
        <v>1.2999999999999999E-2</v>
      </c>
      <c r="S9" t="s">
        <v>132</v>
      </c>
      <c r="U9" t="s">
        <v>97</v>
      </c>
      <c r="V9" t="s">
        <v>98</v>
      </c>
      <c r="W9" t="s">
        <v>569</v>
      </c>
      <c r="X9" t="s">
        <v>100</v>
      </c>
      <c r="Y9" t="s">
        <v>101</v>
      </c>
      <c r="AA9" t="s">
        <v>571</v>
      </c>
      <c r="AB9" t="s">
        <v>572</v>
      </c>
      <c r="AC9" t="s">
        <v>573</v>
      </c>
      <c r="AF9" t="s">
        <v>105</v>
      </c>
      <c r="AG9" t="s">
        <v>106</v>
      </c>
      <c r="AH9" t="s">
        <v>575</v>
      </c>
      <c r="AI9" t="s">
        <v>307</v>
      </c>
      <c r="AK9" t="s">
        <v>577</v>
      </c>
      <c r="AL9" t="s">
        <v>578</v>
      </c>
      <c r="AO9" t="s">
        <v>581</v>
      </c>
      <c r="AP9" t="s">
        <v>582</v>
      </c>
    </row>
    <row r="10" spans="1:42" x14ac:dyDescent="0.25">
      <c r="A10">
        <v>9</v>
      </c>
      <c r="B10" s="1" t="s">
        <v>594</v>
      </c>
      <c r="C10" s="6">
        <v>8903287021961</v>
      </c>
      <c r="D10" s="7" t="str">
        <f>VLOOKUP(C10,[1]Sheet1!$A$2:$E$1223,2,0)&amp;", "&amp;VLOOKUP(C10,[1]Sheet1!$A$2:$E$1223,3,0)&amp;", "&amp;VLOOKUP(C10,[1]Sheet1!$A$2:$E$1223,5,0)</f>
        <v>TL-RES 6.5KG AQUA, TLM, 25750</v>
      </c>
      <c r="E10" t="s">
        <v>1</v>
      </c>
      <c r="F10" t="s">
        <v>567</v>
      </c>
      <c r="G10" t="s">
        <v>640</v>
      </c>
      <c r="H10">
        <v>25750</v>
      </c>
      <c r="I10">
        <f>VLOOKUP(C10,[1]Sheet1!$A$2:$E$20000,5,0)</f>
        <v>25750</v>
      </c>
      <c r="J10" s="2">
        <f t="shared" si="0"/>
        <v>22660</v>
      </c>
      <c r="K10" s="2" t="str">
        <f>VLOOKUP(B10,'[2]WM-TLM'!$B$2:$BA$100,41,0)</f>
        <v>C</v>
      </c>
      <c r="L10" t="s">
        <v>73</v>
      </c>
      <c r="M10">
        <v>6.5</v>
      </c>
      <c r="N10">
        <v>720</v>
      </c>
      <c r="O10">
        <v>35</v>
      </c>
      <c r="P10">
        <v>5</v>
      </c>
      <c r="Q10">
        <v>18</v>
      </c>
      <c r="R10">
        <v>1.2999999999999999E-2</v>
      </c>
      <c r="S10" t="s">
        <v>132</v>
      </c>
      <c r="U10" t="s">
        <v>97</v>
      </c>
      <c r="X10" t="s">
        <v>100</v>
      </c>
      <c r="Y10" t="s">
        <v>101</v>
      </c>
      <c r="AA10" t="s">
        <v>571</v>
      </c>
      <c r="AB10" t="s">
        <v>572</v>
      </c>
      <c r="AC10" t="s">
        <v>573</v>
      </c>
      <c r="AF10" t="s">
        <v>105</v>
      </c>
      <c r="AG10" t="s">
        <v>106</v>
      </c>
      <c r="AH10" t="s">
        <v>575</v>
      </c>
      <c r="AI10" t="s">
        <v>307</v>
      </c>
      <c r="AJ10" t="s">
        <v>576</v>
      </c>
      <c r="AK10" t="s">
        <v>577</v>
      </c>
      <c r="AL10" t="s">
        <v>578</v>
      </c>
    </row>
    <row r="11" spans="1:42" x14ac:dyDescent="0.25">
      <c r="A11">
        <v>10</v>
      </c>
      <c r="B11" s="1" t="s">
        <v>595</v>
      </c>
      <c r="C11" s="6">
        <v>8903287027239</v>
      </c>
      <c r="D11" s="7" t="str">
        <f>VLOOKUP(C11,[1]Sheet1!$A$2:$E$1223,2,0)&amp;", "&amp;VLOOKUP(C11,[1]Sheet1!$A$2:$E$1223,3,0)&amp;", "&amp;VLOOKUP(C11,[1]Sheet1!$A$2:$E$1223,5,0)</f>
        <v>TL-R2WRS 6.5KG AQUA, TLM, 30490</v>
      </c>
      <c r="E11" t="s">
        <v>1</v>
      </c>
      <c r="F11" t="s">
        <v>567</v>
      </c>
      <c r="G11" t="s">
        <v>641</v>
      </c>
      <c r="H11">
        <v>30490</v>
      </c>
      <c r="I11">
        <f>VLOOKUP(C11,[1]Sheet1!$A$2:$E$20000,5,0)</f>
        <v>30490</v>
      </c>
      <c r="J11" s="2">
        <f t="shared" si="0"/>
        <v>26831.200000000001</v>
      </c>
      <c r="K11" s="2" t="str">
        <f>VLOOKUP(B11,'[2]WM-TLM'!$B$2:$BA$100,41,0)</f>
        <v>C</v>
      </c>
      <c r="L11" t="s">
        <v>73</v>
      </c>
      <c r="M11">
        <v>6.5</v>
      </c>
      <c r="N11">
        <v>720</v>
      </c>
      <c r="O11">
        <v>35</v>
      </c>
      <c r="P11">
        <v>5</v>
      </c>
      <c r="Q11">
        <v>18</v>
      </c>
      <c r="R11">
        <v>1.2999999999999999E-2</v>
      </c>
      <c r="S11" t="s">
        <v>221</v>
      </c>
      <c r="U11" t="s">
        <v>97</v>
      </c>
      <c r="V11" t="s">
        <v>98</v>
      </c>
      <c r="W11" t="s">
        <v>569</v>
      </c>
      <c r="X11" t="s">
        <v>100</v>
      </c>
      <c r="Y11" t="s">
        <v>101</v>
      </c>
      <c r="AA11" t="s">
        <v>571</v>
      </c>
      <c r="AB11" t="s">
        <v>572</v>
      </c>
      <c r="AC11" t="s">
        <v>573</v>
      </c>
      <c r="AF11" t="s">
        <v>105</v>
      </c>
      <c r="AG11" t="s">
        <v>106</v>
      </c>
      <c r="AH11" t="s">
        <v>575</v>
      </c>
      <c r="AI11" t="s">
        <v>307</v>
      </c>
      <c r="AK11" t="s">
        <v>577</v>
      </c>
      <c r="AL11" t="s">
        <v>578</v>
      </c>
    </row>
    <row r="12" spans="1:42" x14ac:dyDescent="0.25">
      <c r="A12">
        <v>11</v>
      </c>
      <c r="B12" s="1" t="s">
        <v>596</v>
      </c>
      <c r="C12" s="6">
        <v>8903287027031</v>
      </c>
      <c r="D12" s="7" t="str">
        <f>VLOOKUP(C12,[1]Sheet1!$A$2:$E$1223,2,0)&amp;", "&amp;VLOOKUP(C12,[1]Sheet1!$A$2:$E$1223,3,0)&amp;", "&amp;VLOOKUP(C12,[1]Sheet1!$A$2:$E$1223,5,0)</f>
        <v>TL-R3SG 8.0KG AQUA, TLM, 34990</v>
      </c>
      <c r="E12" t="s">
        <v>1</v>
      </c>
      <c r="F12" t="s">
        <v>567</v>
      </c>
      <c r="G12" t="s">
        <v>642</v>
      </c>
      <c r="H12">
        <v>34990</v>
      </c>
      <c r="I12">
        <f>VLOOKUP(C12,[1]Sheet1!$A$2:$E$20000,5,0)</f>
        <v>34990</v>
      </c>
      <c r="J12" s="2">
        <f t="shared" si="0"/>
        <v>30791.200000000001</v>
      </c>
      <c r="K12" s="2" t="str">
        <f>VLOOKUP(B12,'[2]WM-TLM'!$B$2:$BA$100,41,0)</f>
        <v>B</v>
      </c>
      <c r="L12" t="s">
        <v>73</v>
      </c>
      <c r="M12">
        <v>8</v>
      </c>
      <c r="N12">
        <v>720</v>
      </c>
      <c r="O12">
        <v>38</v>
      </c>
      <c r="P12">
        <v>5</v>
      </c>
      <c r="Q12">
        <v>17</v>
      </c>
      <c r="R12">
        <v>1.2999999999999999E-2</v>
      </c>
      <c r="S12" t="s">
        <v>132</v>
      </c>
      <c r="U12" t="s">
        <v>97</v>
      </c>
      <c r="X12" t="s">
        <v>100</v>
      </c>
      <c r="Y12" t="s">
        <v>101</v>
      </c>
      <c r="AA12" t="s">
        <v>571</v>
      </c>
      <c r="AB12" t="s">
        <v>572</v>
      </c>
      <c r="AC12" t="s">
        <v>573</v>
      </c>
      <c r="AF12" t="s">
        <v>105</v>
      </c>
      <c r="AG12" t="s">
        <v>106</v>
      </c>
      <c r="AH12" t="s">
        <v>575</v>
      </c>
      <c r="AI12" t="s">
        <v>307</v>
      </c>
      <c r="AK12" t="s">
        <v>577</v>
      </c>
      <c r="AL12" t="s">
        <v>578</v>
      </c>
    </row>
    <row r="13" spans="1:42" x14ac:dyDescent="0.25">
      <c r="A13">
        <v>12</v>
      </c>
      <c r="B13" s="1" t="s">
        <v>597</v>
      </c>
      <c r="C13" s="6">
        <v>8903287022104</v>
      </c>
      <c r="D13" s="7" t="str">
        <f>VLOOKUP(C13,[1]Sheet1!$A$2:$E$1223,2,0)&amp;", "&amp;VLOOKUP(C13,[1]Sheet1!$A$2:$E$1223,3,0)&amp;", "&amp;VLOOKUP(C13,[1]Sheet1!$A$2:$E$1223,5,0)</f>
        <v>TL-RES 7.0KG AQUA, TLM, 27290</v>
      </c>
      <c r="E13" t="s">
        <v>1</v>
      </c>
      <c r="F13" t="s">
        <v>567</v>
      </c>
      <c r="G13" t="s">
        <v>643</v>
      </c>
      <c r="H13">
        <v>27290</v>
      </c>
      <c r="I13">
        <f>VLOOKUP(C13,[1]Sheet1!$A$2:$E$20000,5,0)</f>
        <v>27290</v>
      </c>
      <c r="J13" s="2">
        <f t="shared" si="0"/>
        <v>24015.200000000001</v>
      </c>
      <c r="K13" s="2" t="str">
        <f>VLOOKUP(B13,'[2]WM-TLM'!$B$2:$BA$100,41,0)</f>
        <v>C</v>
      </c>
      <c r="L13" t="s">
        <v>73</v>
      </c>
      <c r="M13">
        <v>7</v>
      </c>
      <c r="N13">
        <v>720</v>
      </c>
      <c r="O13">
        <v>35</v>
      </c>
      <c r="P13">
        <v>5</v>
      </c>
      <c r="Q13">
        <v>18</v>
      </c>
      <c r="R13">
        <v>1.2999999999999999E-2</v>
      </c>
      <c r="S13" t="s">
        <v>132</v>
      </c>
      <c r="U13" t="s">
        <v>97</v>
      </c>
      <c r="X13" t="s">
        <v>100</v>
      </c>
      <c r="Y13" t="s">
        <v>101</v>
      </c>
      <c r="AA13" t="s">
        <v>571</v>
      </c>
      <c r="AB13" t="s">
        <v>572</v>
      </c>
      <c r="AC13" t="s">
        <v>573</v>
      </c>
      <c r="AF13" t="s">
        <v>105</v>
      </c>
      <c r="AG13" t="s">
        <v>106</v>
      </c>
      <c r="AH13" t="s">
        <v>575</v>
      </c>
      <c r="AI13" t="s">
        <v>307</v>
      </c>
      <c r="AJ13" t="s">
        <v>576</v>
      </c>
      <c r="AK13" t="s">
        <v>577</v>
      </c>
      <c r="AL13" t="s">
        <v>578</v>
      </c>
    </row>
    <row r="14" spans="1:42" x14ac:dyDescent="0.25">
      <c r="A14">
        <v>13</v>
      </c>
      <c r="B14" s="1" t="s">
        <v>598</v>
      </c>
      <c r="C14" s="6">
        <v>8903287021671</v>
      </c>
      <c r="D14" s="7" t="str">
        <f>VLOOKUP(C14,[1]Sheet1!$A$2:$E$1223,2,0)&amp;", "&amp;VLOOKUP(C14,[1]Sheet1!$A$2:$E$1223,3,0)&amp;", "&amp;VLOOKUP(C14,[1]Sheet1!$A$2:$E$1223,5,0)</f>
        <v>TL-RGS 7.0KG AQUA, TLM, 31850</v>
      </c>
      <c r="E14" t="s">
        <v>1</v>
      </c>
      <c r="F14" t="s">
        <v>567</v>
      </c>
      <c r="G14" t="s">
        <v>644</v>
      </c>
      <c r="H14">
        <v>31850</v>
      </c>
      <c r="I14">
        <f>VLOOKUP(C14,[1]Sheet1!$A$2:$E$20000,5,0)</f>
        <v>31850</v>
      </c>
      <c r="J14" s="2">
        <f t="shared" si="0"/>
        <v>28028</v>
      </c>
      <c r="K14" s="2" t="str">
        <f>VLOOKUP(B14,'[2]WM-TLM'!$B$2:$BA$100,41,0)</f>
        <v>B</v>
      </c>
      <c r="L14" t="s">
        <v>73</v>
      </c>
      <c r="M14">
        <v>7</v>
      </c>
      <c r="N14">
        <v>720</v>
      </c>
      <c r="O14">
        <v>37</v>
      </c>
      <c r="P14">
        <v>5</v>
      </c>
      <c r="Q14">
        <v>17</v>
      </c>
      <c r="R14">
        <v>1.2999999999999999E-2</v>
      </c>
      <c r="S14" t="s">
        <v>132</v>
      </c>
      <c r="U14" t="s">
        <v>97</v>
      </c>
      <c r="X14" t="s">
        <v>100</v>
      </c>
      <c r="Y14" t="s">
        <v>101</v>
      </c>
      <c r="Z14" t="s">
        <v>570</v>
      </c>
      <c r="AA14" t="s">
        <v>571</v>
      </c>
      <c r="AB14" t="s">
        <v>572</v>
      </c>
      <c r="AC14" t="s">
        <v>573</v>
      </c>
      <c r="AF14" t="s">
        <v>105</v>
      </c>
      <c r="AG14" t="s">
        <v>106</v>
      </c>
      <c r="AH14" t="s">
        <v>575</v>
      </c>
      <c r="AI14" t="s">
        <v>307</v>
      </c>
      <c r="AK14" t="s">
        <v>577</v>
      </c>
      <c r="AL14" t="s">
        <v>578</v>
      </c>
    </row>
    <row r="15" spans="1:42" x14ac:dyDescent="0.25">
      <c r="A15">
        <v>14</v>
      </c>
      <c r="B15" s="1" t="s">
        <v>599</v>
      </c>
      <c r="C15" s="6">
        <v>8903287022210</v>
      </c>
      <c r="D15" s="7" t="str">
        <f>VLOOKUP(C15,[1]Sheet1!$A$2:$E$1223,2,0)&amp;", "&amp;VLOOKUP(C15,[1]Sheet1!$A$2:$E$1223,3,0)&amp;", "&amp;VLOOKUP(C15,[1]Sheet1!$A$2:$E$1223,5,0)</f>
        <v>TL-REG 7.0KG AQUA, TLM, 27790</v>
      </c>
      <c r="E15" t="s">
        <v>1</v>
      </c>
      <c r="F15" t="s">
        <v>567</v>
      </c>
      <c r="G15" t="s">
        <v>645</v>
      </c>
      <c r="H15">
        <v>27790</v>
      </c>
      <c r="I15">
        <f>VLOOKUP(C15,[1]Sheet1!$A$2:$E$20000,5,0)</f>
        <v>27790</v>
      </c>
      <c r="J15" s="2">
        <f t="shared" si="0"/>
        <v>24455.200000000001</v>
      </c>
      <c r="K15" s="2" t="str">
        <f>VLOOKUP(B15,'[2]WM-TLM'!$B$2:$BA$100,41,0)</f>
        <v>C</v>
      </c>
      <c r="L15" t="s">
        <v>73</v>
      </c>
      <c r="M15">
        <v>7</v>
      </c>
      <c r="N15">
        <v>720</v>
      </c>
      <c r="O15">
        <v>35</v>
      </c>
      <c r="P15">
        <v>5</v>
      </c>
      <c r="Q15">
        <v>18</v>
      </c>
      <c r="R15">
        <v>1.2999999999999999E-2</v>
      </c>
      <c r="S15" t="s">
        <v>132</v>
      </c>
      <c r="U15" t="s">
        <v>97</v>
      </c>
      <c r="X15" t="s">
        <v>100</v>
      </c>
      <c r="Y15" t="s">
        <v>101</v>
      </c>
      <c r="AA15" t="s">
        <v>571</v>
      </c>
      <c r="AB15" t="s">
        <v>572</v>
      </c>
      <c r="AC15" t="s">
        <v>573</v>
      </c>
      <c r="AF15" t="s">
        <v>105</v>
      </c>
      <c r="AG15" t="s">
        <v>106</v>
      </c>
      <c r="AH15" t="s">
        <v>575</v>
      </c>
      <c r="AI15" t="s">
        <v>307</v>
      </c>
      <c r="AK15" t="s">
        <v>577</v>
      </c>
      <c r="AL15" t="s">
        <v>578</v>
      </c>
    </row>
    <row r="16" spans="1:42" x14ac:dyDescent="0.25">
      <c r="A16">
        <v>15</v>
      </c>
      <c r="B16" s="1" t="s">
        <v>600</v>
      </c>
      <c r="C16" s="6">
        <v>8903287021794</v>
      </c>
      <c r="D16" s="7" t="str">
        <f>VLOOKUP(C16,[1]Sheet1!$A$2:$E$1223,2,0)&amp;", "&amp;VLOOKUP(C16,[1]Sheet1!$A$2:$E$1223,3,0)&amp;", "&amp;VLOOKUP(C16,[1]Sheet1!$A$2:$E$1223,5,0)</f>
        <v>TL-REG 6.5KG AQUA, TLM, 25750</v>
      </c>
      <c r="E16" t="s">
        <v>1</v>
      </c>
      <c r="F16" t="s">
        <v>567</v>
      </c>
      <c r="G16" t="s">
        <v>646</v>
      </c>
      <c r="H16">
        <v>25750</v>
      </c>
      <c r="I16">
        <f>VLOOKUP(C16,[1]Sheet1!$A$2:$E$20000,5,0)</f>
        <v>25750</v>
      </c>
      <c r="J16" s="2">
        <f t="shared" si="0"/>
        <v>22660</v>
      </c>
      <c r="K16" s="2" t="str">
        <f>VLOOKUP(B16,'[2]WM-TLM'!$B$2:$BA$100,41,0)</f>
        <v>C</v>
      </c>
      <c r="L16" t="s">
        <v>73</v>
      </c>
      <c r="M16">
        <v>6.5</v>
      </c>
      <c r="N16">
        <v>720</v>
      </c>
      <c r="O16">
        <v>37</v>
      </c>
      <c r="P16">
        <v>5</v>
      </c>
      <c r="Q16">
        <v>18</v>
      </c>
      <c r="R16">
        <v>1.2999999999999999E-2</v>
      </c>
      <c r="S16" t="s">
        <v>132</v>
      </c>
      <c r="U16" t="s">
        <v>97</v>
      </c>
      <c r="X16" t="s">
        <v>100</v>
      </c>
      <c r="Y16" t="s">
        <v>101</v>
      </c>
      <c r="AA16" t="s">
        <v>571</v>
      </c>
      <c r="AB16" t="s">
        <v>572</v>
      </c>
      <c r="AF16" t="s">
        <v>105</v>
      </c>
      <c r="AG16" t="s">
        <v>106</v>
      </c>
      <c r="AH16" t="s">
        <v>575</v>
      </c>
      <c r="AI16" t="s">
        <v>307</v>
      </c>
      <c r="AK16" t="s">
        <v>577</v>
      </c>
      <c r="AL16" t="s">
        <v>578</v>
      </c>
    </row>
    <row r="17" spans="1:42" x14ac:dyDescent="0.25">
      <c r="A17">
        <v>16</v>
      </c>
      <c r="B17" s="1" t="s">
        <v>601</v>
      </c>
      <c r="C17" s="6">
        <v>8903287027222</v>
      </c>
      <c r="D17" s="7" t="str">
        <f>VLOOKUP(C17,[1]Sheet1!$A$2:$E$1223,2,0)&amp;", "&amp;VLOOKUP(C17,[1]Sheet1!$A$2:$E$1223,3,0)&amp;", "&amp;VLOOKUP(C17,[1]Sheet1!$A$2:$E$1223,5,0)</f>
        <v>TL-R2BRS 6.5KG AQUA, TLM, 30990</v>
      </c>
      <c r="E17" t="s">
        <v>1</v>
      </c>
      <c r="F17" t="s">
        <v>567</v>
      </c>
      <c r="G17" t="s">
        <v>647</v>
      </c>
      <c r="H17">
        <v>30990</v>
      </c>
      <c r="I17">
        <f>VLOOKUP(C17,[1]Sheet1!$A$2:$E$20000,5,0)</f>
        <v>30990</v>
      </c>
      <c r="J17" s="2">
        <f t="shared" si="0"/>
        <v>27271.200000000001</v>
      </c>
      <c r="K17" s="2" t="str">
        <f>VLOOKUP(B17,'[2]WM-TLM'!$B$2:$BA$100,41,0)</f>
        <v>B</v>
      </c>
      <c r="L17" t="s">
        <v>73</v>
      </c>
      <c r="M17">
        <v>6.5</v>
      </c>
      <c r="N17">
        <v>720</v>
      </c>
      <c r="O17">
        <v>35</v>
      </c>
      <c r="P17">
        <v>5</v>
      </c>
      <c r="Q17">
        <v>18</v>
      </c>
      <c r="R17">
        <v>1.2999999999999999E-2</v>
      </c>
      <c r="S17" t="s">
        <v>631</v>
      </c>
      <c r="V17" t="s">
        <v>98</v>
      </c>
      <c r="W17" t="s">
        <v>569</v>
      </c>
      <c r="X17" t="s">
        <v>100</v>
      </c>
      <c r="Y17" t="s">
        <v>101</v>
      </c>
      <c r="Z17" t="s">
        <v>570</v>
      </c>
      <c r="AA17" t="s">
        <v>571</v>
      </c>
      <c r="AB17" t="s">
        <v>572</v>
      </c>
      <c r="AC17" t="s">
        <v>573</v>
      </c>
      <c r="AF17" t="s">
        <v>105</v>
      </c>
      <c r="AG17" t="s">
        <v>106</v>
      </c>
      <c r="AH17" t="s">
        <v>575</v>
      </c>
      <c r="AI17" t="s">
        <v>307</v>
      </c>
      <c r="AK17" t="s">
        <v>577</v>
      </c>
      <c r="AL17" t="s">
        <v>578</v>
      </c>
      <c r="AO17" t="s">
        <v>581</v>
      </c>
      <c r="AP17" t="s">
        <v>582</v>
      </c>
    </row>
    <row r="18" spans="1:42" x14ac:dyDescent="0.25">
      <c r="A18">
        <v>17</v>
      </c>
      <c r="B18" s="1" t="s">
        <v>602</v>
      </c>
      <c r="C18" s="6">
        <v>8903287022524</v>
      </c>
      <c r="D18" s="7" t="str">
        <f>VLOOKUP(C18,[1]Sheet1!$A$2:$E$1223,2,0)&amp;", "&amp;VLOOKUP(C18,[1]Sheet1!$A$2:$E$1223,3,0)&amp;", "&amp;VLOOKUP(C18,[1]Sheet1!$A$2:$E$1223,5,0)</f>
        <v>TL-S4BLS 10.0KG AQUA, TLM, 43490</v>
      </c>
      <c r="E18" t="s">
        <v>1</v>
      </c>
      <c r="F18" t="s">
        <v>567</v>
      </c>
      <c r="G18" t="s">
        <v>648</v>
      </c>
      <c r="H18">
        <v>43490</v>
      </c>
      <c r="I18">
        <f>VLOOKUP(C18,[1]Sheet1!$A$2:$E$20000,5,0)</f>
        <v>43490</v>
      </c>
      <c r="J18" s="2">
        <f t="shared" si="0"/>
        <v>38271.199999999997</v>
      </c>
      <c r="K18" s="2" t="str">
        <f>VLOOKUP(B18,'[2]WM-TLM'!$B$2:$BA$100,41,0)</f>
        <v>A++</v>
      </c>
      <c r="L18" t="s">
        <v>73</v>
      </c>
      <c r="M18">
        <v>10</v>
      </c>
      <c r="N18">
        <v>720</v>
      </c>
      <c r="O18">
        <v>45</v>
      </c>
      <c r="P18">
        <v>5</v>
      </c>
      <c r="Q18">
        <v>20</v>
      </c>
      <c r="R18">
        <v>1.2999999999999999E-2</v>
      </c>
      <c r="S18" t="s">
        <v>133</v>
      </c>
      <c r="U18" t="s">
        <v>97</v>
      </c>
      <c r="V18" t="s">
        <v>98</v>
      </c>
      <c r="W18" t="s">
        <v>569</v>
      </c>
      <c r="X18" t="s">
        <v>100</v>
      </c>
      <c r="Y18" t="s">
        <v>126</v>
      </c>
      <c r="Z18" t="s">
        <v>570</v>
      </c>
      <c r="AB18" t="s">
        <v>572</v>
      </c>
      <c r="AC18" t="s">
        <v>573</v>
      </c>
      <c r="AD18" t="s">
        <v>574</v>
      </c>
      <c r="AF18" t="s">
        <v>105</v>
      </c>
      <c r="AG18" t="s">
        <v>106</v>
      </c>
      <c r="AH18" t="s">
        <v>575</v>
      </c>
      <c r="AI18" t="s">
        <v>307</v>
      </c>
      <c r="AJ18" t="s">
        <v>576</v>
      </c>
      <c r="AK18" t="s">
        <v>577</v>
      </c>
      <c r="AL18" t="s">
        <v>578</v>
      </c>
      <c r="AM18" t="s">
        <v>579</v>
      </c>
      <c r="AN18" t="s">
        <v>580</v>
      </c>
      <c r="AO18" t="s">
        <v>581</v>
      </c>
      <c r="AP18" t="s">
        <v>582</v>
      </c>
    </row>
    <row r="19" spans="1:42" x14ac:dyDescent="0.25">
      <c r="A19">
        <v>18</v>
      </c>
      <c r="B19" s="1" t="s">
        <v>603</v>
      </c>
      <c r="C19" s="6">
        <v>8903287027154</v>
      </c>
      <c r="D19" s="7" t="str">
        <f>VLOOKUP(C19,[1]Sheet1!$A$2:$E$1223,2,0)&amp;", "&amp;VLOOKUP(C19,[1]Sheet1!$A$2:$E$1223,3,0)&amp;", "&amp;VLOOKUP(C19,[1]Sheet1!$A$2:$E$1223,5,0)</f>
        <v>TL-R1BRS 7.0KG AQUA, TLM, 29990</v>
      </c>
      <c r="E19" t="s">
        <v>1</v>
      </c>
      <c r="F19" t="s">
        <v>567</v>
      </c>
      <c r="G19" t="s">
        <v>649</v>
      </c>
      <c r="H19">
        <v>29990</v>
      </c>
      <c r="I19">
        <f>VLOOKUP(C19,[1]Sheet1!$A$2:$E$20000,5,0)</f>
        <v>29990</v>
      </c>
      <c r="J19" s="2">
        <f t="shared" si="0"/>
        <v>26391.200000000001</v>
      </c>
      <c r="K19" s="2" t="str">
        <f>VLOOKUP(B19,'[2]WM-TLM'!$B$2:$BA$100,41,0)</f>
        <v>C</v>
      </c>
      <c r="L19" t="s">
        <v>73</v>
      </c>
      <c r="M19">
        <v>7</v>
      </c>
      <c r="N19">
        <v>720</v>
      </c>
      <c r="O19">
        <v>35</v>
      </c>
      <c r="P19">
        <v>5</v>
      </c>
      <c r="Q19">
        <v>18</v>
      </c>
      <c r="R19">
        <v>1.2999999999999999E-2</v>
      </c>
      <c r="S19" t="s">
        <v>631</v>
      </c>
      <c r="U19" t="s">
        <v>97</v>
      </c>
      <c r="V19" t="s">
        <v>98</v>
      </c>
      <c r="W19" t="s">
        <v>569</v>
      </c>
      <c r="X19" t="s">
        <v>100</v>
      </c>
      <c r="Y19" t="s">
        <v>101</v>
      </c>
      <c r="AA19" t="s">
        <v>571</v>
      </c>
      <c r="AB19" t="s">
        <v>572</v>
      </c>
      <c r="AC19" t="s">
        <v>573</v>
      </c>
      <c r="AF19" t="s">
        <v>105</v>
      </c>
      <c r="AG19" t="s">
        <v>106</v>
      </c>
      <c r="AH19" t="s">
        <v>575</v>
      </c>
      <c r="AI19" t="s">
        <v>307</v>
      </c>
      <c r="AK19" t="s">
        <v>577</v>
      </c>
      <c r="AL19" t="s">
        <v>578</v>
      </c>
      <c r="AO19" t="s">
        <v>581</v>
      </c>
    </row>
    <row r="20" spans="1:42" x14ac:dyDescent="0.25">
      <c r="A20">
        <v>19</v>
      </c>
      <c r="B20" s="1" t="s">
        <v>604</v>
      </c>
      <c r="C20" s="6">
        <v>8903287027338</v>
      </c>
      <c r="D20" s="7" t="str">
        <f>VLOOKUP(C20,[1]Sheet1!$A$2:$E$1223,2,0)&amp;", "&amp;VLOOKUP(C20,[1]Sheet1!$A$2:$E$1223,3,0)&amp;", "&amp;VLOOKUP(C20,[1]Sheet1!$A$2:$E$1223,5,0)</f>
        <v>TL-R2BR 7.0KG AQUA, TLM, 28550</v>
      </c>
      <c r="E20" t="s">
        <v>1</v>
      </c>
      <c r="F20" t="s">
        <v>567</v>
      </c>
      <c r="G20" t="s">
        <v>650</v>
      </c>
      <c r="H20">
        <v>28550</v>
      </c>
      <c r="I20">
        <f>VLOOKUP(C20,[1]Sheet1!$A$2:$E$20000,5,0)</f>
        <v>28550</v>
      </c>
      <c r="J20" s="2">
        <f t="shared" si="0"/>
        <v>25124</v>
      </c>
      <c r="K20" s="2" t="str">
        <f>VLOOKUP(B20,'[2]WM-TLM'!$B$2:$BA$100,41,0)</f>
        <v>C</v>
      </c>
      <c r="L20" t="s">
        <v>73</v>
      </c>
      <c r="M20">
        <v>7</v>
      </c>
      <c r="N20">
        <v>720</v>
      </c>
      <c r="O20">
        <v>37</v>
      </c>
      <c r="P20">
        <v>5</v>
      </c>
      <c r="Q20">
        <v>18</v>
      </c>
      <c r="R20">
        <v>1.2999999999999999E-2</v>
      </c>
      <c r="S20" t="s">
        <v>631</v>
      </c>
      <c r="U20" t="s">
        <v>97</v>
      </c>
      <c r="X20" t="s">
        <v>100</v>
      </c>
      <c r="Y20" t="s">
        <v>101</v>
      </c>
      <c r="AA20" t="s">
        <v>571</v>
      </c>
      <c r="AB20" t="s">
        <v>572</v>
      </c>
      <c r="AC20" t="s">
        <v>573</v>
      </c>
      <c r="AF20" t="s">
        <v>105</v>
      </c>
      <c r="AG20" t="s">
        <v>106</v>
      </c>
      <c r="AH20" t="s">
        <v>575</v>
      </c>
      <c r="AI20" t="s">
        <v>307</v>
      </c>
      <c r="AK20" t="s">
        <v>577</v>
      </c>
      <c r="AL20" t="s">
        <v>578</v>
      </c>
      <c r="AO20" t="s">
        <v>581</v>
      </c>
      <c r="AP20" t="s">
        <v>582</v>
      </c>
    </row>
    <row r="21" spans="1:42" x14ac:dyDescent="0.25">
      <c r="A21">
        <v>20</v>
      </c>
      <c r="B21" s="1" t="s">
        <v>605</v>
      </c>
      <c r="C21" s="6">
        <v>8903287022449</v>
      </c>
      <c r="D21" s="7" t="str">
        <f>VLOOKUP(C21,[1]Sheet1!$A$2:$E$1223,2,0)&amp;", "&amp;VLOOKUP(C21,[1]Sheet1!$A$2:$E$1223,3,0)&amp;", "&amp;VLOOKUP(C21,[1]Sheet1!$A$2:$E$1223,5,0)</f>
        <v>TL-S4RBS 9.0KG AQUA, TLM, 40990</v>
      </c>
      <c r="E21" t="s">
        <v>1</v>
      </c>
      <c r="F21" t="s">
        <v>567</v>
      </c>
      <c r="G21" t="s">
        <v>651</v>
      </c>
      <c r="H21">
        <v>40990</v>
      </c>
      <c r="I21">
        <f>VLOOKUP(C21,[1]Sheet1!$A$2:$E$20000,5,0)</f>
        <v>40990</v>
      </c>
      <c r="J21" s="2">
        <f t="shared" si="0"/>
        <v>36071.199999999997</v>
      </c>
      <c r="K21" s="2" t="str">
        <f>VLOOKUP(B21,'[2]WM-TLM'!$B$2:$BA$100,41,0)</f>
        <v>A+</v>
      </c>
      <c r="L21" t="s">
        <v>73</v>
      </c>
      <c r="M21">
        <v>9</v>
      </c>
      <c r="N21">
        <v>720</v>
      </c>
      <c r="O21">
        <v>46</v>
      </c>
      <c r="P21">
        <v>5</v>
      </c>
      <c r="Q21">
        <v>18</v>
      </c>
      <c r="R21">
        <v>1.2999999999999999E-2</v>
      </c>
      <c r="S21" t="s">
        <v>528</v>
      </c>
      <c r="U21" t="s">
        <v>97</v>
      </c>
      <c r="V21" t="s">
        <v>98</v>
      </c>
      <c r="W21" t="s">
        <v>569</v>
      </c>
      <c r="X21" t="s">
        <v>100</v>
      </c>
      <c r="Y21" t="s">
        <v>126</v>
      </c>
      <c r="Z21" t="s">
        <v>570</v>
      </c>
      <c r="AA21" t="s">
        <v>571</v>
      </c>
      <c r="AB21" t="s">
        <v>572</v>
      </c>
      <c r="AC21" t="s">
        <v>573</v>
      </c>
      <c r="AD21" t="s">
        <v>574</v>
      </c>
      <c r="AF21" t="s">
        <v>105</v>
      </c>
      <c r="AG21" t="s">
        <v>106</v>
      </c>
      <c r="AH21" t="s">
        <v>575</v>
      </c>
      <c r="AI21" t="s">
        <v>307</v>
      </c>
      <c r="AJ21" t="s">
        <v>576</v>
      </c>
      <c r="AK21" t="s">
        <v>577</v>
      </c>
      <c r="AL21" t="s">
        <v>578</v>
      </c>
      <c r="AM21" t="s">
        <v>579</v>
      </c>
      <c r="AN21" t="s">
        <v>580</v>
      </c>
      <c r="AO21" t="s">
        <v>581</v>
      </c>
      <c r="AP21" t="s">
        <v>582</v>
      </c>
    </row>
    <row r="22" spans="1:42" x14ac:dyDescent="0.25">
      <c r="A22">
        <v>21</v>
      </c>
      <c r="B22" s="1" t="s">
        <v>606</v>
      </c>
      <c r="C22" s="6">
        <v>8903287027284</v>
      </c>
      <c r="D22" s="7" t="str">
        <f>VLOOKUP(C22,[1]Sheet1!$A$2:$E$1223,2,0)&amp;", "&amp;VLOOKUP(C22,[1]Sheet1!$A$2:$E$1223,3,0)&amp;", "&amp;VLOOKUP(C22,[1]Sheet1!$A$2:$E$1223,5,0)</f>
        <v>TL-S1WRS 8.0KG AQUA, TLM, 37450</v>
      </c>
      <c r="E22" t="s">
        <v>1</v>
      </c>
      <c r="F22" t="s">
        <v>567</v>
      </c>
      <c r="G22" t="s">
        <v>652</v>
      </c>
      <c r="H22">
        <v>37450</v>
      </c>
      <c r="I22">
        <f>VLOOKUP(C22,[1]Sheet1!$A$2:$E$20000,5,0)</f>
        <v>37450</v>
      </c>
      <c r="J22" s="2">
        <f t="shared" si="0"/>
        <v>32956</v>
      </c>
      <c r="K22" s="2" t="str">
        <f>VLOOKUP(B22,'[2]WM-TLM'!$B$2:$BA$100,41,0)</f>
        <v>A</v>
      </c>
      <c r="L22" t="s">
        <v>73</v>
      </c>
      <c r="M22">
        <v>8</v>
      </c>
      <c r="N22">
        <v>720</v>
      </c>
      <c r="O22">
        <v>37</v>
      </c>
      <c r="P22">
        <v>5</v>
      </c>
      <c r="Q22">
        <v>17</v>
      </c>
      <c r="R22">
        <v>1.2999999999999999E-2</v>
      </c>
      <c r="S22" t="s">
        <v>221</v>
      </c>
      <c r="U22" t="s">
        <v>97</v>
      </c>
      <c r="V22" t="s">
        <v>98</v>
      </c>
      <c r="W22" t="s">
        <v>569</v>
      </c>
      <c r="X22" t="s">
        <v>100</v>
      </c>
      <c r="Y22" t="s">
        <v>101</v>
      </c>
      <c r="Z22" t="s">
        <v>570</v>
      </c>
      <c r="AA22" t="s">
        <v>571</v>
      </c>
      <c r="AB22" t="s">
        <v>572</v>
      </c>
      <c r="AC22" t="s">
        <v>573</v>
      </c>
      <c r="AD22" t="s">
        <v>574</v>
      </c>
      <c r="AF22" t="s">
        <v>105</v>
      </c>
      <c r="AG22" t="s">
        <v>106</v>
      </c>
      <c r="AH22" t="s">
        <v>575</v>
      </c>
      <c r="AI22" t="s">
        <v>307</v>
      </c>
      <c r="AK22" t="s">
        <v>577</v>
      </c>
      <c r="AL22" t="s">
        <v>578</v>
      </c>
      <c r="AO22" t="s">
        <v>581</v>
      </c>
      <c r="AP22" t="s">
        <v>582</v>
      </c>
    </row>
    <row r="23" spans="1:42" x14ac:dyDescent="0.25">
      <c r="A23">
        <v>22</v>
      </c>
      <c r="B23" s="1" t="s">
        <v>607</v>
      </c>
      <c r="C23" s="6">
        <v>8903287021763</v>
      </c>
      <c r="D23" s="7" t="str">
        <f>VLOOKUP(C23,[1]Sheet1!$A$2:$E$1223,2,0)&amp;", "&amp;VLOOKUP(C23,[1]Sheet1!$A$2:$E$1223,3,0)&amp;", "&amp;VLOOKUP(C23,[1]Sheet1!$A$2:$E$1223,5,0)</f>
        <v>TL-RSS 6.5KG AQUA, TLM, 26550</v>
      </c>
      <c r="E23" t="s">
        <v>1</v>
      </c>
      <c r="F23" t="s">
        <v>567</v>
      </c>
      <c r="G23" t="s">
        <v>653</v>
      </c>
      <c r="H23">
        <v>26550</v>
      </c>
      <c r="I23">
        <f>VLOOKUP(C23,[1]Sheet1!$A$2:$E$20000,5,0)</f>
        <v>26550</v>
      </c>
      <c r="J23" s="2">
        <f t="shared" si="0"/>
        <v>23364</v>
      </c>
      <c r="K23" s="2" t="str">
        <f>VLOOKUP(B23,'[2]WM-TLM'!$B$2:$BA$100,41,0)</f>
        <v>C</v>
      </c>
      <c r="L23" t="s">
        <v>73</v>
      </c>
      <c r="M23">
        <v>6.5</v>
      </c>
      <c r="N23">
        <v>720</v>
      </c>
      <c r="O23">
        <v>35</v>
      </c>
      <c r="P23">
        <v>5</v>
      </c>
      <c r="Q23">
        <v>17</v>
      </c>
      <c r="R23">
        <v>1.2999999999999999E-2</v>
      </c>
      <c r="S23" t="s">
        <v>132</v>
      </c>
      <c r="U23" t="s">
        <v>97</v>
      </c>
      <c r="X23" t="s">
        <v>100</v>
      </c>
      <c r="Y23" t="s">
        <v>101</v>
      </c>
      <c r="Z23" t="s">
        <v>570</v>
      </c>
      <c r="AA23" t="s">
        <v>571</v>
      </c>
      <c r="AB23" t="s">
        <v>572</v>
      </c>
      <c r="AC23" t="s">
        <v>573</v>
      </c>
      <c r="AF23" t="s">
        <v>105</v>
      </c>
      <c r="AG23" t="s">
        <v>106</v>
      </c>
      <c r="AH23" t="s">
        <v>575</v>
      </c>
      <c r="AI23" t="s">
        <v>307</v>
      </c>
      <c r="AK23" t="s">
        <v>577</v>
      </c>
      <c r="AL23" t="s">
        <v>578</v>
      </c>
    </row>
    <row r="24" spans="1:42" x14ac:dyDescent="0.25">
      <c r="A24">
        <v>23</v>
      </c>
      <c r="B24" s="1" t="s">
        <v>608</v>
      </c>
      <c r="C24" s="6">
        <v>8903287022647</v>
      </c>
      <c r="D24" s="7" t="str">
        <f>VLOOKUP(C24,[1]Sheet1!$A$2:$E$1223,2,0)&amp;", "&amp;VLOOKUP(C24,[1]Sheet1!$A$2:$E$1223,3,0)&amp;", "&amp;VLOOKUP(C24,[1]Sheet1!$A$2:$E$1223,5,0)</f>
        <v>TL-R1WRS 7.0KG AQUA, TLM, 30990</v>
      </c>
      <c r="E24" t="s">
        <v>1</v>
      </c>
      <c r="F24" t="s">
        <v>567</v>
      </c>
      <c r="G24" t="s">
        <v>654</v>
      </c>
      <c r="H24">
        <v>30990</v>
      </c>
      <c r="I24">
        <f>VLOOKUP(C24,[1]Sheet1!$A$2:$E$20000,5,0)</f>
        <v>30990</v>
      </c>
      <c r="J24" s="2">
        <f t="shared" si="0"/>
        <v>27271.200000000001</v>
      </c>
      <c r="K24" s="2" t="str">
        <f>VLOOKUP(B24,'[2]WM-TLM'!$B$2:$BA$100,41,0)</f>
        <v>B</v>
      </c>
      <c r="L24" t="s">
        <v>73</v>
      </c>
      <c r="M24">
        <v>7</v>
      </c>
      <c r="N24">
        <v>720</v>
      </c>
      <c r="O24">
        <v>35</v>
      </c>
      <c r="P24">
        <v>5</v>
      </c>
      <c r="Q24">
        <v>18</v>
      </c>
      <c r="R24">
        <v>1.2999999999999999E-2</v>
      </c>
      <c r="S24" t="s">
        <v>221</v>
      </c>
      <c r="U24" t="s">
        <v>97</v>
      </c>
      <c r="V24" t="s">
        <v>98</v>
      </c>
      <c r="W24" t="s">
        <v>569</v>
      </c>
      <c r="X24" t="s">
        <v>100</v>
      </c>
      <c r="Y24" t="s">
        <v>101</v>
      </c>
      <c r="Z24" t="s">
        <v>570</v>
      </c>
      <c r="AA24" t="s">
        <v>571</v>
      </c>
      <c r="AB24" t="s">
        <v>572</v>
      </c>
      <c r="AC24" t="s">
        <v>573</v>
      </c>
      <c r="AF24" t="s">
        <v>105</v>
      </c>
      <c r="AG24" t="s">
        <v>106</v>
      </c>
      <c r="AH24" t="s">
        <v>575</v>
      </c>
      <c r="AI24" t="s">
        <v>307</v>
      </c>
      <c r="AK24" t="s">
        <v>577</v>
      </c>
      <c r="AL24" t="s">
        <v>578</v>
      </c>
      <c r="AO24" t="s">
        <v>581</v>
      </c>
    </row>
    <row r="25" spans="1:42" x14ac:dyDescent="0.25">
      <c r="A25">
        <v>24</v>
      </c>
      <c r="B25" s="1" t="s">
        <v>609</v>
      </c>
      <c r="C25" s="6">
        <v>8903287022487</v>
      </c>
      <c r="D25" s="7" t="str">
        <f>VLOOKUP(C25,[1]Sheet1!$A$2:$E$1223,2,0)&amp;", "&amp;VLOOKUP(C25,[1]Sheet1!$A$2:$E$1223,3,0)&amp;", "&amp;VLOOKUP(C25,[1]Sheet1!$A$2:$E$1223,5,0)</f>
        <v>TL-S4STS 9.0KG AQUA, TLM, 42490</v>
      </c>
      <c r="E25" t="s">
        <v>1</v>
      </c>
      <c r="F25" t="s">
        <v>567</v>
      </c>
      <c r="G25" t="s">
        <v>655</v>
      </c>
      <c r="H25">
        <v>42490</v>
      </c>
      <c r="I25">
        <f>VLOOKUP(C25,[1]Sheet1!$A$2:$E$20000,5,0)</f>
        <v>42490</v>
      </c>
      <c r="J25" s="2">
        <f t="shared" si="0"/>
        <v>37391.199999999997</v>
      </c>
      <c r="K25" s="2" t="str">
        <f>VLOOKUP(B25,'[2]WM-TLM'!$B$2:$BA$100,41,0)</f>
        <v>A++</v>
      </c>
      <c r="L25" t="s">
        <v>73</v>
      </c>
      <c r="M25">
        <v>9</v>
      </c>
      <c r="N25">
        <v>720</v>
      </c>
      <c r="O25">
        <v>45</v>
      </c>
      <c r="P25">
        <v>5</v>
      </c>
      <c r="Q25">
        <v>18</v>
      </c>
      <c r="R25">
        <v>1.2999999999999999E-2</v>
      </c>
      <c r="S25" t="s">
        <v>465</v>
      </c>
      <c r="U25" t="s">
        <v>97</v>
      </c>
      <c r="V25" t="s">
        <v>98</v>
      </c>
      <c r="W25" t="s">
        <v>569</v>
      </c>
      <c r="X25" t="s">
        <v>100</v>
      </c>
      <c r="Y25" t="s">
        <v>126</v>
      </c>
      <c r="Z25" t="s">
        <v>570</v>
      </c>
      <c r="AB25" t="s">
        <v>572</v>
      </c>
      <c r="AC25" t="s">
        <v>573</v>
      </c>
      <c r="AD25" t="s">
        <v>574</v>
      </c>
      <c r="AF25" t="s">
        <v>105</v>
      </c>
      <c r="AG25" t="s">
        <v>106</v>
      </c>
      <c r="AH25" t="s">
        <v>575</v>
      </c>
      <c r="AI25" t="s">
        <v>307</v>
      </c>
      <c r="AJ25" t="s">
        <v>576</v>
      </c>
      <c r="AK25" t="s">
        <v>577</v>
      </c>
      <c r="AL25" t="s">
        <v>578</v>
      </c>
      <c r="AM25" t="s">
        <v>579</v>
      </c>
      <c r="AN25" t="s">
        <v>580</v>
      </c>
      <c r="AO25" t="s">
        <v>581</v>
      </c>
      <c r="AP25" t="s">
        <v>582</v>
      </c>
    </row>
    <row r="26" spans="1:42" x14ac:dyDescent="0.25">
      <c r="A26">
        <v>25</v>
      </c>
      <c r="B26" s="1" t="s">
        <v>610</v>
      </c>
      <c r="C26" s="6">
        <v>8903287022319</v>
      </c>
      <c r="D26" s="7" t="str">
        <f>VLOOKUP(C26,[1]Sheet1!$A$2:$E$1223,2,0)&amp;", "&amp;VLOOKUP(C26,[1]Sheet1!$A$2:$E$1223,3,0)&amp;", "&amp;VLOOKUP(C26,[1]Sheet1!$A$2:$E$1223,5,0)</f>
        <v>TL-REWS 6.5KG AQUA, TLM, 27250</v>
      </c>
      <c r="E26" t="s">
        <v>1</v>
      </c>
      <c r="F26" t="s">
        <v>567</v>
      </c>
      <c r="G26" t="s">
        <v>656</v>
      </c>
      <c r="H26">
        <v>27250</v>
      </c>
      <c r="I26">
        <f>VLOOKUP(C26,[1]Sheet1!$A$2:$E$20000,5,0)</f>
        <v>27250</v>
      </c>
      <c r="J26" s="2">
        <f t="shared" si="0"/>
        <v>23980</v>
      </c>
      <c r="K26" s="2" t="str">
        <f>VLOOKUP(B26,'[2]WM-TLM'!$B$2:$BA$100,41,0)</f>
        <v>C</v>
      </c>
      <c r="L26" t="s">
        <v>73</v>
      </c>
      <c r="M26">
        <v>6.5</v>
      </c>
      <c r="N26">
        <v>720</v>
      </c>
      <c r="O26">
        <v>35</v>
      </c>
      <c r="P26">
        <v>5</v>
      </c>
      <c r="Q26">
        <v>18</v>
      </c>
      <c r="R26">
        <v>1.2999999999999999E-2</v>
      </c>
      <c r="S26" t="s">
        <v>127</v>
      </c>
      <c r="U26" t="s">
        <v>97</v>
      </c>
      <c r="V26" t="s">
        <v>98</v>
      </c>
      <c r="W26" t="s">
        <v>569</v>
      </c>
      <c r="X26" t="s">
        <v>100</v>
      </c>
      <c r="Y26" t="s">
        <v>101</v>
      </c>
      <c r="AA26" t="s">
        <v>571</v>
      </c>
      <c r="AB26" t="s">
        <v>572</v>
      </c>
      <c r="AC26" t="s">
        <v>573</v>
      </c>
      <c r="AF26" t="s">
        <v>105</v>
      </c>
      <c r="AG26" t="s">
        <v>106</v>
      </c>
      <c r="AH26" t="s">
        <v>575</v>
      </c>
      <c r="AI26" t="s">
        <v>307</v>
      </c>
      <c r="AJ26" t="s">
        <v>576</v>
      </c>
      <c r="AK26" t="s">
        <v>577</v>
      </c>
      <c r="AL26" t="s">
        <v>578</v>
      </c>
    </row>
    <row r="27" spans="1:42" x14ac:dyDescent="0.25">
      <c r="A27">
        <v>26</v>
      </c>
      <c r="B27" s="1" t="s">
        <v>611</v>
      </c>
      <c r="C27" s="6">
        <v>8903287021336</v>
      </c>
      <c r="D27" s="7" t="str">
        <f>VLOOKUP(C27,[1]Sheet1!$A$2:$E$1223,2,0)&amp;", "&amp;VLOOKUP(C27,[1]Sheet1!$A$2:$E$1223,3,0)&amp;", "&amp;VLOOKUP(C27,[1]Sheet1!$A$2:$E$1223,5,0)</f>
        <v>TL-REW 6.5KG AQUA, TLM, 24690</v>
      </c>
      <c r="E27" t="s">
        <v>1</v>
      </c>
      <c r="F27" t="s">
        <v>567</v>
      </c>
      <c r="G27" t="s">
        <v>657</v>
      </c>
      <c r="H27">
        <v>24690</v>
      </c>
      <c r="I27">
        <f>VLOOKUP(C27,[1]Sheet1!$A$2:$E$20000,5,0)</f>
        <v>24690</v>
      </c>
      <c r="J27" s="2">
        <f t="shared" si="0"/>
        <v>21727.200000000001</v>
      </c>
      <c r="K27" s="2" t="str">
        <f>VLOOKUP(B27,'[2]WM-TLM'!$B$2:$BA$100,41,0)</f>
        <v>C</v>
      </c>
      <c r="L27" t="s">
        <v>73</v>
      </c>
      <c r="M27">
        <v>6.5</v>
      </c>
      <c r="N27">
        <v>720</v>
      </c>
      <c r="O27">
        <v>35</v>
      </c>
      <c r="P27">
        <v>5</v>
      </c>
      <c r="Q27">
        <v>18</v>
      </c>
      <c r="R27">
        <v>1.2999999999999999E-2</v>
      </c>
      <c r="S27" t="s">
        <v>127</v>
      </c>
      <c r="U27" t="s">
        <v>97</v>
      </c>
      <c r="X27" t="s">
        <v>100</v>
      </c>
      <c r="Y27" t="s">
        <v>101</v>
      </c>
      <c r="AA27" t="s">
        <v>571</v>
      </c>
      <c r="AB27" t="s">
        <v>572</v>
      </c>
      <c r="AC27" t="s">
        <v>573</v>
      </c>
      <c r="AF27" t="s">
        <v>105</v>
      </c>
      <c r="AG27" t="s">
        <v>106</v>
      </c>
      <c r="AH27" t="s">
        <v>575</v>
      </c>
      <c r="AI27" t="s">
        <v>307</v>
      </c>
      <c r="AJ27" t="s">
        <v>576</v>
      </c>
      <c r="AK27" t="s">
        <v>577</v>
      </c>
      <c r="AL27" t="s">
        <v>578</v>
      </c>
    </row>
    <row r="28" spans="1:42" x14ac:dyDescent="0.25">
      <c r="A28">
        <v>27</v>
      </c>
      <c r="B28" s="1" t="s">
        <v>612</v>
      </c>
      <c r="C28" s="6">
        <v>8903287021565</v>
      </c>
      <c r="D28" s="7" t="str">
        <f>VLOOKUP(C28,[1]Sheet1!$A$2:$E$1223,2,0)&amp;", "&amp;VLOOKUP(C28,[1]Sheet1!$A$2:$E$1223,3,0)&amp;", "&amp;VLOOKUP(C28,[1]Sheet1!$A$2:$E$1223,5,0)</f>
        <v>TL-SBRH 8.0KG AQUA, TLM, 32490</v>
      </c>
      <c r="E28" t="s">
        <v>1</v>
      </c>
      <c r="F28" t="s">
        <v>567</v>
      </c>
      <c r="G28" t="s">
        <v>658</v>
      </c>
      <c r="H28">
        <v>32490</v>
      </c>
      <c r="I28">
        <f>VLOOKUP(C28,[1]Sheet1!$A$2:$E$20000,5,0)</f>
        <v>32490</v>
      </c>
      <c r="J28" s="2">
        <f>H28-(0.04*H28)</f>
        <v>31190.400000000001</v>
      </c>
      <c r="K28" s="2" t="str">
        <f>VLOOKUP(B28,'[2]WM-TLM'!$B$2:$BA$100,41,0)</f>
        <v>B</v>
      </c>
      <c r="L28" t="s">
        <v>73</v>
      </c>
      <c r="M28">
        <v>8</v>
      </c>
      <c r="N28">
        <v>720</v>
      </c>
      <c r="O28">
        <v>38</v>
      </c>
      <c r="P28">
        <v>5</v>
      </c>
      <c r="Q28">
        <v>16</v>
      </c>
      <c r="R28">
        <v>1.2999999999999999E-2</v>
      </c>
      <c r="S28" t="s">
        <v>631</v>
      </c>
      <c r="V28" t="s">
        <v>98</v>
      </c>
      <c r="W28" t="s">
        <v>569</v>
      </c>
      <c r="X28" t="s">
        <v>100</v>
      </c>
      <c r="Y28" t="s">
        <v>101</v>
      </c>
      <c r="AA28" t="s">
        <v>571</v>
      </c>
      <c r="AB28" t="s">
        <v>572</v>
      </c>
      <c r="AC28" t="s">
        <v>573</v>
      </c>
      <c r="AD28" t="s">
        <v>574</v>
      </c>
      <c r="AE28" t="s">
        <v>632</v>
      </c>
      <c r="AF28" t="s">
        <v>105</v>
      </c>
      <c r="AG28" t="s">
        <v>106</v>
      </c>
      <c r="AH28" t="s">
        <v>575</v>
      </c>
      <c r="AI28" t="s">
        <v>307</v>
      </c>
      <c r="AJ28" t="s">
        <v>576</v>
      </c>
      <c r="AK28" t="s">
        <v>577</v>
      </c>
      <c r="AL28" t="s">
        <v>578</v>
      </c>
    </row>
    <row r="29" spans="1:42" x14ac:dyDescent="0.25">
      <c r="A29">
        <v>28</v>
      </c>
      <c r="B29" s="1" t="s">
        <v>613</v>
      </c>
      <c r="C29" s="6">
        <v>8903287021787</v>
      </c>
      <c r="D29" s="7" t="str">
        <f>VLOOKUP(C29,[1]Sheet1!$A$2:$E$1223,2,0)&amp;", "&amp;VLOOKUP(C29,[1]Sheet1!$A$2:$E$1223,3,0)&amp;", "&amp;VLOOKUP(C29,[1]Sheet1!$A$2:$E$1223,5,0)</f>
        <v>TL-REGS 6.5KG AQUA, TLM, 24050</v>
      </c>
      <c r="E29" t="s">
        <v>1</v>
      </c>
      <c r="F29" t="s">
        <v>567</v>
      </c>
      <c r="G29" t="s">
        <v>659</v>
      </c>
      <c r="H29">
        <v>24050</v>
      </c>
      <c r="I29">
        <f>VLOOKUP(C29,[1]Sheet1!$A$2:$E$20000,5,0)</f>
        <v>24050</v>
      </c>
      <c r="J29" s="2">
        <f>H29-(0.04*H29)</f>
        <v>23088</v>
      </c>
      <c r="K29" s="2" t="str">
        <f>VLOOKUP(B29,'[2]WM-TLM'!$B$2:$BA$100,41,0)</f>
        <v>C</v>
      </c>
      <c r="L29" t="s">
        <v>73</v>
      </c>
      <c r="M29">
        <v>6.5</v>
      </c>
      <c r="N29">
        <v>720</v>
      </c>
      <c r="O29">
        <v>35</v>
      </c>
      <c r="P29">
        <v>5</v>
      </c>
      <c r="Q29">
        <v>18</v>
      </c>
      <c r="R29">
        <v>1.2999999999999999E-2</v>
      </c>
      <c r="S29" t="s">
        <v>132</v>
      </c>
      <c r="V29" t="s">
        <v>98</v>
      </c>
      <c r="W29" t="s">
        <v>569</v>
      </c>
      <c r="X29" t="s">
        <v>100</v>
      </c>
      <c r="Y29" t="s">
        <v>101</v>
      </c>
      <c r="AA29" t="s">
        <v>571</v>
      </c>
      <c r="AB29" t="s">
        <v>572</v>
      </c>
      <c r="AC29" t="s">
        <v>573</v>
      </c>
      <c r="AF29" t="s">
        <v>105</v>
      </c>
      <c r="AG29" t="s">
        <v>106</v>
      </c>
      <c r="AH29" t="s">
        <v>575</v>
      </c>
      <c r="AI29" t="s">
        <v>307</v>
      </c>
      <c r="AK29" t="s">
        <v>577</v>
      </c>
      <c r="AL29" t="s">
        <v>578</v>
      </c>
    </row>
    <row r="30" spans="1:42" x14ac:dyDescent="0.25">
      <c r="A30">
        <v>29</v>
      </c>
      <c r="B30" s="1" t="s">
        <v>614</v>
      </c>
      <c r="C30" s="6">
        <v>8903287021947</v>
      </c>
      <c r="D30" s="7" t="str">
        <f>VLOOKUP(C30,[1]Sheet1!$A$2:$E$1223,2,0)&amp;", "&amp;VLOOKUP(C30,[1]Sheet1!$A$2:$E$1223,3,0)&amp;", "&amp;VLOOKUP(C30,[1]Sheet1!$A$2:$E$1223,5,0)</f>
        <v>TL-RBR 6.5 KG AQUA, TLM, 25890</v>
      </c>
      <c r="E30" t="s">
        <v>1</v>
      </c>
      <c r="F30" t="s">
        <v>567</v>
      </c>
      <c r="G30" t="s">
        <v>660</v>
      </c>
      <c r="H30">
        <v>25890</v>
      </c>
      <c r="I30">
        <f>VLOOKUP(C30,[1]Sheet1!$A$2:$E$20000,5,0)</f>
        <v>25890</v>
      </c>
      <c r="J30" s="2">
        <f>H30-(0.04*H30)</f>
        <v>24854.400000000001</v>
      </c>
      <c r="K30" s="2" t="str">
        <f>VLOOKUP(B30,'[2]WM-TLM'!$B$2:$BA$100,41,0)</f>
        <v>C</v>
      </c>
      <c r="L30" t="s">
        <v>73</v>
      </c>
      <c r="M30">
        <v>6.5</v>
      </c>
      <c r="N30">
        <v>720</v>
      </c>
      <c r="O30">
        <v>37</v>
      </c>
      <c r="P30">
        <v>5</v>
      </c>
      <c r="Q30">
        <v>8.9</v>
      </c>
      <c r="R30">
        <v>8.8999999999999996E-2</v>
      </c>
      <c r="S30" t="s">
        <v>631</v>
      </c>
      <c r="X30" t="s">
        <v>100</v>
      </c>
      <c r="Y30" t="s">
        <v>101</v>
      </c>
      <c r="Z30" t="s">
        <v>570</v>
      </c>
      <c r="AA30" t="s">
        <v>571</v>
      </c>
      <c r="AB30" t="s">
        <v>572</v>
      </c>
      <c r="AF30" t="s">
        <v>105</v>
      </c>
      <c r="AG30" t="s">
        <v>106</v>
      </c>
      <c r="AH30" t="s">
        <v>575</v>
      </c>
      <c r="AI30" t="s">
        <v>307</v>
      </c>
      <c r="AL30" t="s">
        <v>578</v>
      </c>
    </row>
    <row r="31" spans="1:42" x14ac:dyDescent="0.25">
      <c r="A31">
        <v>30</v>
      </c>
      <c r="B31" s="1" t="s">
        <v>615</v>
      </c>
      <c r="C31" s="6">
        <v>8903287022494</v>
      </c>
      <c r="D31" s="7" t="str">
        <f>VLOOKUP(C31,[1]Sheet1!$A$2:$E$1223,2,0)&amp;", "&amp;VLOOKUP(C31,[1]Sheet1!$A$2:$E$1223,3,0)&amp;", "&amp;VLOOKUP(C31,[1]Sheet1!$A$2:$E$1223,5,0)</f>
        <v>TL-S4RBS 10.0KG AQUA, TLM, 41490</v>
      </c>
      <c r="E31" t="s">
        <v>1</v>
      </c>
      <c r="F31" t="s">
        <v>567</v>
      </c>
      <c r="G31" t="s">
        <v>661</v>
      </c>
      <c r="H31">
        <v>41490</v>
      </c>
      <c r="I31">
        <f>VLOOKUP(C31,[1]Sheet1!$A$2:$E$20000,5,0)</f>
        <v>41490</v>
      </c>
      <c r="J31" s="2">
        <f t="shared" si="0"/>
        <v>36511.199999999997</v>
      </c>
      <c r="K31" s="2" t="str">
        <f>VLOOKUP(B31,'[2]WM-TLM'!$B$2:$BA$100,41,0)</f>
        <v>A+</v>
      </c>
      <c r="L31" t="s">
        <v>73</v>
      </c>
      <c r="M31">
        <v>10</v>
      </c>
      <c r="N31">
        <v>720</v>
      </c>
      <c r="O31">
        <v>45</v>
      </c>
      <c r="P31">
        <v>5</v>
      </c>
      <c r="Q31">
        <v>20</v>
      </c>
      <c r="R31">
        <v>1.2999999999999999E-2</v>
      </c>
      <c r="S31" t="s">
        <v>528</v>
      </c>
      <c r="U31" t="s">
        <v>97</v>
      </c>
      <c r="V31" t="s">
        <v>98</v>
      </c>
      <c r="W31" t="s">
        <v>569</v>
      </c>
      <c r="X31" t="s">
        <v>100</v>
      </c>
      <c r="Y31" t="s">
        <v>126</v>
      </c>
      <c r="Z31" t="s">
        <v>570</v>
      </c>
      <c r="AB31" t="s">
        <v>572</v>
      </c>
      <c r="AC31" t="s">
        <v>573</v>
      </c>
      <c r="AD31" t="s">
        <v>574</v>
      </c>
      <c r="AF31" t="s">
        <v>105</v>
      </c>
      <c r="AG31" t="s">
        <v>106</v>
      </c>
      <c r="AH31" t="s">
        <v>575</v>
      </c>
      <c r="AI31" t="s">
        <v>307</v>
      </c>
      <c r="AJ31" t="s">
        <v>576</v>
      </c>
      <c r="AK31" t="s">
        <v>577</v>
      </c>
      <c r="AL31" t="s">
        <v>578</v>
      </c>
      <c r="AM31" t="s">
        <v>579</v>
      </c>
      <c r="AN31" t="s">
        <v>580</v>
      </c>
      <c r="AO31" t="s">
        <v>581</v>
      </c>
      <c r="AP31" t="s">
        <v>582</v>
      </c>
    </row>
    <row r="32" spans="1:42" x14ac:dyDescent="0.25">
      <c r="A32">
        <v>31</v>
      </c>
      <c r="B32" s="1" t="s">
        <v>616</v>
      </c>
      <c r="C32" s="6">
        <v>8903287027079</v>
      </c>
      <c r="D32" s="7" t="str">
        <f>VLOOKUP(C32,[1]Sheet1!$A$2:$E$1223,2,0)&amp;", "&amp;VLOOKUP(C32,[1]Sheet1!$A$2:$E$1223,3,0)&amp;", "&amp;VLOOKUP(C32,[1]Sheet1!$A$2:$E$1223,5,0)</f>
        <v>TL-R1WH 7.0KG AQUA, TLM, 26690</v>
      </c>
      <c r="E32" t="s">
        <v>1</v>
      </c>
      <c r="F32" t="s">
        <v>567</v>
      </c>
      <c r="G32" t="s">
        <v>662</v>
      </c>
      <c r="H32">
        <v>26690</v>
      </c>
      <c r="I32">
        <f>VLOOKUP(C32,[1]Sheet1!$A$2:$E$20000,5,0)</f>
        <v>26690</v>
      </c>
      <c r="J32" s="2">
        <f t="shared" si="0"/>
        <v>23487.200000000001</v>
      </c>
      <c r="K32" s="2" t="str">
        <f>VLOOKUP(B32,'[2]WM-TLM'!$B$2:$BA$100,41,0)</f>
        <v>C</v>
      </c>
      <c r="L32" t="s">
        <v>73</v>
      </c>
      <c r="M32">
        <v>7</v>
      </c>
      <c r="N32">
        <v>720</v>
      </c>
      <c r="O32">
        <v>35</v>
      </c>
      <c r="P32">
        <v>5</v>
      </c>
      <c r="Q32">
        <v>8.9</v>
      </c>
      <c r="R32">
        <v>8.8999999999999996E-2</v>
      </c>
      <c r="S32" t="s">
        <v>127</v>
      </c>
      <c r="U32" t="s">
        <v>97</v>
      </c>
      <c r="X32" t="s">
        <v>100</v>
      </c>
      <c r="Y32" t="s">
        <v>101</v>
      </c>
      <c r="AA32" t="s">
        <v>571</v>
      </c>
      <c r="AB32" t="s">
        <v>572</v>
      </c>
      <c r="AC32" t="s">
        <v>573</v>
      </c>
      <c r="AF32" t="s">
        <v>105</v>
      </c>
      <c r="AG32" t="s">
        <v>106</v>
      </c>
      <c r="AH32" t="s">
        <v>575</v>
      </c>
      <c r="AI32" t="s">
        <v>307</v>
      </c>
      <c r="AK32" t="s">
        <v>577</v>
      </c>
      <c r="AL32" t="s">
        <v>578</v>
      </c>
    </row>
    <row r="33" spans="1:42" x14ac:dyDescent="0.25">
      <c r="A33">
        <v>32</v>
      </c>
      <c r="B33" s="1" t="s">
        <v>617</v>
      </c>
      <c r="C33" s="6">
        <v>8903287021817</v>
      </c>
      <c r="D33" s="7" t="str">
        <f>VLOOKUP(C33,[1]Sheet1!$A$2:$E$1223,2,0)&amp;", "&amp;VLOOKUP(C33,[1]Sheet1!$A$2:$E$1223,3,0)&amp;", "&amp;VLOOKUP(C33,[1]Sheet1!$A$2:$E$1223,5,0)</f>
        <v>TL-SDS 7.0KG AQUA, TLM, 32950</v>
      </c>
      <c r="E33" t="s">
        <v>1</v>
      </c>
      <c r="F33" t="s">
        <v>567</v>
      </c>
      <c r="G33" t="s">
        <v>663</v>
      </c>
      <c r="H33">
        <v>27950</v>
      </c>
      <c r="I33">
        <f>VLOOKUP(C33,[1]Sheet1!$A$2:$E$20000,5,0)</f>
        <v>32950</v>
      </c>
      <c r="J33" s="2">
        <f>H33-(0.04*H33)</f>
        <v>26832</v>
      </c>
      <c r="K33" s="2" t="str">
        <f>VLOOKUP(B33,'[2]WM-TLM'!$B$2:$BA$100,41,0)</f>
        <v>C</v>
      </c>
      <c r="L33" t="s">
        <v>73</v>
      </c>
      <c r="M33">
        <v>7</v>
      </c>
      <c r="N33">
        <v>720</v>
      </c>
      <c r="O33">
        <v>37</v>
      </c>
      <c r="P33">
        <v>5</v>
      </c>
      <c r="Q33">
        <v>17</v>
      </c>
      <c r="R33">
        <v>1.2999999999999999E-2</v>
      </c>
      <c r="S33" t="s">
        <v>132</v>
      </c>
      <c r="X33" t="s">
        <v>100</v>
      </c>
      <c r="Y33" t="s">
        <v>101</v>
      </c>
      <c r="Z33" t="s">
        <v>570</v>
      </c>
      <c r="AA33" t="s">
        <v>571</v>
      </c>
      <c r="AB33" t="s">
        <v>572</v>
      </c>
      <c r="AC33" t="s">
        <v>573</v>
      </c>
      <c r="AD33" t="s">
        <v>574</v>
      </c>
      <c r="AF33" t="s">
        <v>105</v>
      </c>
      <c r="AG33" t="s">
        <v>106</v>
      </c>
      <c r="AH33" t="s">
        <v>575</v>
      </c>
      <c r="AI33" t="s">
        <v>307</v>
      </c>
      <c r="AJ33" t="s">
        <v>576</v>
      </c>
      <c r="AK33" t="s">
        <v>577</v>
      </c>
      <c r="AL33" t="s">
        <v>578</v>
      </c>
    </row>
    <row r="34" spans="1:42" x14ac:dyDescent="0.25">
      <c r="A34">
        <v>33</v>
      </c>
      <c r="B34" s="1" t="s">
        <v>618</v>
      </c>
      <c r="C34" s="6">
        <v>8903287022432</v>
      </c>
      <c r="D34" s="7" t="str">
        <f>VLOOKUP(C34,[1]Sheet1!$A$2:$E$1223,2,0)&amp;", "&amp;VLOOKUP(C34,[1]Sheet1!$A$2:$E$1223,3,0)&amp;", "&amp;VLOOKUP(C34,[1]Sheet1!$A$2:$E$1223,5,0)</f>
        <v>TL-SIBS 11.0KG AQUA, TLM, 44990</v>
      </c>
      <c r="E34" t="s">
        <v>1</v>
      </c>
      <c r="F34" t="s">
        <v>567</v>
      </c>
      <c r="G34" t="s">
        <v>664</v>
      </c>
      <c r="H34">
        <v>44990</v>
      </c>
      <c r="I34">
        <f>VLOOKUP(C34,[1]Sheet1!$A$2:$E$20000,5,0)</f>
        <v>44990</v>
      </c>
      <c r="J34" s="2">
        <f t="shared" si="0"/>
        <v>39591.199999999997</v>
      </c>
      <c r="K34" s="2" t="str">
        <f>VLOOKUP(B34,'[2]WM-TLM'!$B$2:$BA$100,41,0)</f>
        <v>A++</v>
      </c>
      <c r="L34" t="s">
        <v>73</v>
      </c>
      <c r="M34">
        <v>11</v>
      </c>
      <c r="N34">
        <v>720</v>
      </c>
      <c r="O34">
        <v>46</v>
      </c>
      <c r="P34">
        <v>5</v>
      </c>
      <c r="Q34">
        <v>15</v>
      </c>
      <c r="R34">
        <v>1.2999999999999999E-2</v>
      </c>
      <c r="S34" t="s">
        <v>568</v>
      </c>
      <c r="U34" t="s">
        <v>97</v>
      </c>
      <c r="V34" t="s">
        <v>98</v>
      </c>
      <c r="W34" t="s">
        <v>569</v>
      </c>
      <c r="X34" t="s">
        <v>100</v>
      </c>
      <c r="Y34" t="s">
        <v>126</v>
      </c>
      <c r="Z34" t="s">
        <v>570</v>
      </c>
      <c r="AA34" t="s">
        <v>571</v>
      </c>
      <c r="AB34" t="s">
        <v>572</v>
      </c>
      <c r="AC34" t="s">
        <v>573</v>
      </c>
      <c r="AD34" t="s">
        <v>574</v>
      </c>
      <c r="AF34" t="s">
        <v>105</v>
      </c>
      <c r="AG34" t="s">
        <v>106</v>
      </c>
      <c r="AH34" t="s">
        <v>575</v>
      </c>
      <c r="AI34" t="s">
        <v>307</v>
      </c>
      <c r="AK34" t="s">
        <v>577</v>
      </c>
      <c r="AL34" t="s">
        <v>578</v>
      </c>
      <c r="AM34" t="s">
        <v>579</v>
      </c>
      <c r="AN34" t="s">
        <v>580</v>
      </c>
    </row>
    <row r="35" spans="1:42" x14ac:dyDescent="0.25">
      <c r="A35">
        <v>34</v>
      </c>
      <c r="B35" s="1" t="s">
        <v>619</v>
      </c>
      <c r="C35" s="6">
        <v>8903287021886</v>
      </c>
      <c r="D35" s="7" t="str">
        <f>VLOOKUP(C35,[1]Sheet1!$A$2:$E$1223,2,0)&amp;", "&amp;VLOOKUP(C35,[1]Sheet1!$A$2:$E$1223,3,0)&amp;", "&amp;VLOOKUP(C35,[1]Sheet1!$A$2:$E$1223,5,0)</f>
        <v>TL-SDG 6.5KG AQUA, TLM, 26650</v>
      </c>
      <c r="E35" t="s">
        <v>1</v>
      </c>
      <c r="F35" t="s">
        <v>567</v>
      </c>
      <c r="G35" t="s">
        <v>665</v>
      </c>
      <c r="H35">
        <v>26650</v>
      </c>
      <c r="I35">
        <f>VLOOKUP(C35,[1]Sheet1!$A$2:$E$20000,5,0)</f>
        <v>26650</v>
      </c>
      <c r="J35" s="2">
        <f>H35-(0.04*H35)</f>
        <v>25584</v>
      </c>
      <c r="K35" s="2" t="str">
        <f>VLOOKUP(B35,'[2]WM-TLM'!$B$2:$BA$100,41,0)</f>
        <v>C</v>
      </c>
      <c r="L35" t="s">
        <v>73</v>
      </c>
      <c r="M35">
        <v>6.5</v>
      </c>
      <c r="N35">
        <v>720</v>
      </c>
      <c r="O35">
        <v>37</v>
      </c>
      <c r="P35">
        <v>5</v>
      </c>
      <c r="Q35">
        <v>18</v>
      </c>
      <c r="R35">
        <v>1.2999999999999999E-2</v>
      </c>
      <c r="S35" t="s">
        <v>132</v>
      </c>
      <c r="X35" t="s">
        <v>100</v>
      </c>
      <c r="Y35" t="s">
        <v>101</v>
      </c>
      <c r="Z35" t="s">
        <v>570</v>
      </c>
      <c r="AA35" t="s">
        <v>571</v>
      </c>
      <c r="AB35" t="s">
        <v>572</v>
      </c>
      <c r="AC35" t="s">
        <v>573</v>
      </c>
      <c r="AD35" t="s">
        <v>574</v>
      </c>
      <c r="AF35" t="s">
        <v>105</v>
      </c>
      <c r="AG35" t="s">
        <v>106</v>
      </c>
      <c r="AH35" t="s">
        <v>575</v>
      </c>
      <c r="AI35" t="s">
        <v>307</v>
      </c>
      <c r="AJ35" t="s">
        <v>576</v>
      </c>
      <c r="AK35" t="s">
        <v>577</v>
      </c>
      <c r="AL35" t="s">
        <v>578</v>
      </c>
    </row>
    <row r="36" spans="1:42" x14ac:dyDescent="0.25">
      <c r="A36">
        <v>35</v>
      </c>
      <c r="B36" s="1" t="s">
        <v>620</v>
      </c>
      <c r="C36" s="6">
        <v>8903287022401</v>
      </c>
      <c r="D36" s="7" t="str">
        <f>VLOOKUP(C36,[1]Sheet1!$A$2:$E$1223,2,0)&amp;", "&amp;VLOOKUP(C36,[1]Sheet1!$A$2:$E$1223,3,0)&amp;", "&amp;VLOOKUP(C36,[1]Sheet1!$A$2:$E$1223,5,0)</f>
        <v>TL-SDSS 8.0KG AQUA, TLM, 31450</v>
      </c>
      <c r="E36" t="s">
        <v>1</v>
      </c>
      <c r="F36" t="s">
        <v>567</v>
      </c>
      <c r="G36" t="s">
        <v>666</v>
      </c>
      <c r="H36">
        <v>31450</v>
      </c>
      <c r="I36">
        <f>VLOOKUP(C36,[1]Sheet1!$A$2:$E$20000,5,0)</f>
        <v>31450</v>
      </c>
      <c r="J36" s="2">
        <f>H36-(0.04*H36)</f>
        <v>30192</v>
      </c>
      <c r="K36" s="2" t="str">
        <f>VLOOKUP(B36,'[2]WM-TLM'!$B$2:$BA$100,41,0)</f>
        <v>B</v>
      </c>
      <c r="L36" t="s">
        <v>73</v>
      </c>
      <c r="M36">
        <v>8</v>
      </c>
      <c r="N36">
        <v>720</v>
      </c>
      <c r="O36">
        <v>38</v>
      </c>
      <c r="P36">
        <v>5</v>
      </c>
      <c r="Q36">
        <v>17</v>
      </c>
      <c r="R36">
        <v>1.2999999999999999E-2</v>
      </c>
      <c r="S36" t="s">
        <v>132</v>
      </c>
      <c r="V36" t="s">
        <v>98</v>
      </c>
      <c r="W36" t="s">
        <v>569</v>
      </c>
      <c r="X36" t="s">
        <v>100</v>
      </c>
      <c r="Y36" t="s">
        <v>101</v>
      </c>
      <c r="AA36" t="s">
        <v>571</v>
      </c>
      <c r="AB36" t="s">
        <v>572</v>
      </c>
      <c r="AC36" t="s">
        <v>573</v>
      </c>
      <c r="AD36" t="s">
        <v>574</v>
      </c>
      <c r="AF36" t="s">
        <v>105</v>
      </c>
      <c r="AG36" t="s">
        <v>106</v>
      </c>
      <c r="AH36" t="s">
        <v>575</v>
      </c>
      <c r="AI36" t="s">
        <v>307</v>
      </c>
      <c r="AK36" t="s">
        <v>577</v>
      </c>
      <c r="AL36" t="s">
        <v>578</v>
      </c>
      <c r="AO36" t="s">
        <v>581</v>
      </c>
      <c r="AP36" t="s">
        <v>582</v>
      </c>
    </row>
    <row r="37" spans="1:42" x14ac:dyDescent="0.25">
      <c r="A37">
        <v>36</v>
      </c>
      <c r="B37" s="1" t="s">
        <v>621</v>
      </c>
      <c r="C37" s="6">
        <v>8903287022937</v>
      </c>
      <c r="D37" s="7" t="str">
        <f>VLOOKUP(C37,[1]Sheet1!$A$2:$E$1223,2,0)&amp;", "&amp;VLOOKUP(C37,[1]Sheet1!$A$2:$E$1223,3,0)&amp;", "&amp;VLOOKUP(C37,[1]Sheet1!$A$2:$E$1223,5,0)</f>
        <v>TL-S4INS 12.0KG AQUA, TLM, 46990</v>
      </c>
      <c r="E37" t="s">
        <v>1</v>
      </c>
      <c r="F37" t="s">
        <v>567</v>
      </c>
      <c r="G37" t="s">
        <v>667</v>
      </c>
      <c r="H37">
        <v>46990</v>
      </c>
      <c r="I37">
        <f>VLOOKUP(C37,[1]Sheet1!$A$2:$E$20000,5,0)</f>
        <v>46990</v>
      </c>
      <c r="J37" s="2">
        <f t="shared" si="0"/>
        <v>41351.199999999997</v>
      </c>
      <c r="K37" s="2" t="str">
        <f>VLOOKUP(B37,'[2]WM-TLM'!$B$2:$BA$100,41,0)</f>
        <v>A++</v>
      </c>
      <c r="L37" t="s">
        <v>73</v>
      </c>
      <c r="M37">
        <v>12</v>
      </c>
      <c r="N37">
        <v>720</v>
      </c>
      <c r="O37">
        <v>46</v>
      </c>
      <c r="P37">
        <v>5</v>
      </c>
      <c r="Q37">
        <v>17</v>
      </c>
      <c r="R37">
        <v>1.2999999999999999E-2</v>
      </c>
      <c r="S37" t="s">
        <v>568</v>
      </c>
      <c r="U37" t="s">
        <v>97</v>
      </c>
      <c r="V37" t="s">
        <v>98</v>
      </c>
      <c r="W37" t="s">
        <v>569</v>
      </c>
      <c r="X37" t="s">
        <v>100</v>
      </c>
      <c r="Y37" t="s">
        <v>126</v>
      </c>
      <c r="Z37" t="s">
        <v>570</v>
      </c>
      <c r="AA37" t="s">
        <v>571</v>
      </c>
      <c r="AB37" t="s">
        <v>572</v>
      </c>
      <c r="AC37" t="s">
        <v>573</v>
      </c>
      <c r="AD37" t="s">
        <v>574</v>
      </c>
      <c r="AF37" t="s">
        <v>105</v>
      </c>
      <c r="AG37" t="s">
        <v>106</v>
      </c>
      <c r="AH37" t="s">
        <v>575</v>
      </c>
      <c r="AI37" t="s">
        <v>307</v>
      </c>
      <c r="AJ37" t="s">
        <v>576</v>
      </c>
      <c r="AK37" t="s">
        <v>577</v>
      </c>
      <c r="AL37" t="s">
        <v>578</v>
      </c>
      <c r="AM37" t="s">
        <v>579</v>
      </c>
      <c r="AN37" t="s">
        <v>580</v>
      </c>
      <c r="AO37" t="s">
        <v>581</v>
      </c>
      <c r="AP37" t="s">
        <v>582</v>
      </c>
    </row>
    <row r="38" spans="1:42" x14ac:dyDescent="0.25">
      <c r="A38">
        <v>37</v>
      </c>
      <c r="B38" s="1" t="s">
        <v>622</v>
      </c>
      <c r="C38" s="6">
        <v>8903287022067</v>
      </c>
      <c r="D38" s="7" t="str">
        <f>VLOOKUP(C38,[1]Sheet1!$A$2:$E$1223,2,0)&amp;", "&amp;VLOOKUP(C38,[1]Sheet1!$A$2:$E$1223,3,0)&amp;", "&amp;VLOOKUP(C38,[1]Sheet1!$A$2:$E$1223,5,0)</f>
        <v>TL-SSBL 9.0KG AQUA, TLM, 34690</v>
      </c>
      <c r="E38" t="s">
        <v>1</v>
      </c>
      <c r="F38" t="s">
        <v>567</v>
      </c>
      <c r="G38" t="s">
        <v>668</v>
      </c>
      <c r="H38">
        <v>34690</v>
      </c>
      <c r="I38">
        <f>VLOOKUP(C38,[1]Sheet1!$A$2:$E$20000,5,0)</f>
        <v>34690</v>
      </c>
      <c r="J38" s="2">
        <f>H38-(0.04*H38)</f>
        <v>33302.400000000001</v>
      </c>
      <c r="K38" s="2" t="str">
        <f>VLOOKUP(B38,'[2]WM-TLM'!$B$2:$BA$100,41,0)</f>
        <v>B</v>
      </c>
      <c r="L38" t="s">
        <v>73</v>
      </c>
      <c r="M38">
        <v>9</v>
      </c>
      <c r="N38">
        <v>720</v>
      </c>
      <c r="O38">
        <v>45</v>
      </c>
      <c r="P38">
        <v>5</v>
      </c>
      <c r="Q38">
        <v>8.9</v>
      </c>
      <c r="R38">
        <v>8.8999999999999996E-2</v>
      </c>
      <c r="S38" t="s">
        <v>81</v>
      </c>
      <c r="W38" t="s">
        <v>569</v>
      </c>
      <c r="X38" t="s">
        <v>100</v>
      </c>
      <c r="Y38" t="s">
        <v>126</v>
      </c>
      <c r="AA38" t="s">
        <v>571</v>
      </c>
      <c r="AB38" t="s">
        <v>572</v>
      </c>
      <c r="AC38" t="s">
        <v>573</v>
      </c>
      <c r="AD38" t="s">
        <v>574</v>
      </c>
      <c r="AE38" t="s">
        <v>632</v>
      </c>
      <c r="AF38" t="s">
        <v>105</v>
      </c>
      <c r="AG38" t="s">
        <v>106</v>
      </c>
      <c r="AH38" t="s">
        <v>575</v>
      </c>
      <c r="AI38" t="s">
        <v>307</v>
      </c>
      <c r="AJ38" t="s">
        <v>576</v>
      </c>
      <c r="AK38" t="s">
        <v>577</v>
      </c>
      <c r="AL38" t="s">
        <v>578</v>
      </c>
      <c r="AM38" t="s">
        <v>579</v>
      </c>
      <c r="AN38" t="s">
        <v>580</v>
      </c>
    </row>
    <row r="39" spans="1:42" x14ac:dyDescent="0.25">
      <c r="A39">
        <v>38</v>
      </c>
      <c r="B39" s="1" t="s">
        <v>623</v>
      </c>
      <c r="C39" s="6">
        <v>8903287022920</v>
      </c>
      <c r="D39" s="7" t="str">
        <f>VLOOKUP(C39,[1]Sheet1!$A$2:$E$1223,2,0)&amp;", "&amp;VLOOKUP(C39,[1]Sheet1!$A$2:$E$1223,3,0)&amp;", "&amp;VLOOKUP(C39,[1]Sheet1!$A$2:$E$1223,5,0)</f>
        <v>TL-S4RBS 12.0KG AQUA, TLM, 46490</v>
      </c>
      <c r="E39" t="s">
        <v>1</v>
      </c>
      <c r="F39" t="s">
        <v>567</v>
      </c>
      <c r="G39" t="s">
        <v>669</v>
      </c>
      <c r="H39">
        <v>46490</v>
      </c>
      <c r="I39">
        <f>VLOOKUP(C39,[1]Sheet1!$A$2:$E$20000,5,0)</f>
        <v>46490</v>
      </c>
      <c r="J39" s="2">
        <f t="shared" si="0"/>
        <v>40911.199999999997</v>
      </c>
      <c r="K39" s="2" t="str">
        <f>VLOOKUP(B39,'[2]WM-TLM'!$B$2:$BA$100,41,0)</f>
        <v>A++</v>
      </c>
      <c r="L39" t="s">
        <v>73</v>
      </c>
      <c r="M39">
        <v>12</v>
      </c>
      <c r="N39">
        <v>720</v>
      </c>
      <c r="O39">
        <v>46</v>
      </c>
      <c r="P39">
        <v>5</v>
      </c>
      <c r="Q39">
        <v>17</v>
      </c>
      <c r="R39">
        <v>1.2999999999999999E-2</v>
      </c>
      <c r="S39" t="s">
        <v>528</v>
      </c>
      <c r="V39" t="s">
        <v>98</v>
      </c>
      <c r="W39" t="s">
        <v>569</v>
      </c>
      <c r="X39" t="s">
        <v>100</v>
      </c>
      <c r="Y39" t="s">
        <v>101</v>
      </c>
      <c r="Z39" t="s">
        <v>570</v>
      </c>
      <c r="AA39" t="s">
        <v>571</v>
      </c>
      <c r="AB39" t="s">
        <v>572</v>
      </c>
      <c r="AC39" t="s">
        <v>573</v>
      </c>
      <c r="AD39" t="s">
        <v>574</v>
      </c>
      <c r="AF39" t="s">
        <v>105</v>
      </c>
      <c r="AG39" t="s">
        <v>106</v>
      </c>
      <c r="AH39" t="s">
        <v>575</v>
      </c>
      <c r="AI39" t="s">
        <v>307</v>
      </c>
      <c r="AJ39" t="s">
        <v>576</v>
      </c>
      <c r="AK39" t="s">
        <v>577</v>
      </c>
      <c r="AL39" t="s">
        <v>578</v>
      </c>
      <c r="AM39" t="s">
        <v>579</v>
      </c>
      <c r="AN39" t="s">
        <v>580</v>
      </c>
      <c r="AO39" t="s">
        <v>581</v>
      </c>
      <c r="AP39" t="s">
        <v>582</v>
      </c>
    </row>
    <row r="40" spans="1:42" x14ac:dyDescent="0.25">
      <c r="A40">
        <v>39</v>
      </c>
      <c r="B40" s="1" t="s">
        <v>624</v>
      </c>
      <c r="C40" s="6">
        <v>8903287027260</v>
      </c>
      <c r="D40" s="7" t="str">
        <f>VLOOKUP(C40,[1]Sheet1!$A$2:$E$1223,2,0)&amp;", "&amp;VLOOKUP(C40,[1]Sheet1!$A$2:$E$1223,3,0)&amp;", "&amp;VLOOKUP(C40,[1]Sheet1!$A$2:$E$1223,5,0)</f>
        <v>TL-S1WRS 7.0KG AQUA, TLM, 33990</v>
      </c>
      <c r="E40" t="s">
        <v>1</v>
      </c>
      <c r="F40" t="s">
        <v>567</v>
      </c>
      <c r="G40" t="s">
        <v>670</v>
      </c>
      <c r="H40">
        <v>33990</v>
      </c>
      <c r="I40">
        <f>VLOOKUP(C40,[1]Sheet1!$A$2:$E$20000,5,0)</f>
        <v>33990</v>
      </c>
      <c r="J40" s="2">
        <f t="shared" si="0"/>
        <v>29911.200000000001</v>
      </c>
      <c r="K40" s="2" t="str">
        <f>VLOOKUP(B40,'[2]WM-TLM'!$B$2:$BA$100,41,0)</f>
        <v>B</v>
      </c>
      <c r="L40" t="s">
        <v>73</v>
      </c>
      <c r="M40">
        <v>7</v>
      </c>
      <c r="N40">
        <v>720</v>
      </c>
      <c r="O40">
        <v>37</v>
      </c>
      <c r="P40">
        <v>5</v>
      </c>
      <c r="Q40">
        <v>18</v>
      </c>
      <c r="R40">
        <v>1.2999999999999999E-2</v>
      </c>
      <c r="S40" t="s">
        <v>221</v>
      </c>
      <c r="U40" t="s">
        <v>97</v>
      </c>
      <c r="V40" t="s">
        <v>98</v>
      </c>
      <c r="W40" t="s">
        <v>569</v>
      </c>
      <c r="X40" t="s">
        <v>100</v>
      </c>
      <c r="Y40" t="s">
        <v>101</v>
      </c>
      <c r="Z40" t="s">
        <v>570</v>
      </c>
      <c r="AA40" t="s">
        <v>571</v>
      </c>
      <c r="AB40" t="s">
        <v>572</v>
      </c>
      <c r="AC40" t="s">
        <v>573</v>
      </c>
      <c r="AD40" t="s">
        <v>574</v>
      </c>
      <c r="AF40" t="s">
        <v>105</v>
      </c>
      <c r="AG40" t="s">
        <v>106</v>
      </c>
      <c r="AH40" t="s">
        <v>575</v>
      </c>
      <c r="AI40" t="s">
        <v>307</v>
      </c>
      <c r="AK40" t="s">
        <v>577</v>
      </c>
      <c r="AL40" t="s">
        <v>578</v>
      </c>
      <c r="AO40" t="s">
        <v>581</v>
      </c>
      <c r="AP40" t="s">
        <v>582</v>
      </c>
    </row>
    <row r="41" spans="1:42" x14ac:dyDescent="0.25">
      <c r="A41">
        <v>40</v>
      </c>
      <c r="B41" s="1" t="s">
        <v>625</v>
      </c>
      <c r="C41" s="6">
        <v>8903287022241</v>
      </c>
      <c r="D41" s="7" t="str">
        <f>VLOOKUP(C41,[1]Sheet1!$A$2:$E$1223,2,0)&amp;", "&amp;VLOOKUP(C41,[1]Sheet1!$A$2:$E$1223,3,0)&amp;", "&amp;VLOOKUP(C41,[1]Sheet1!$A$2:$E$1223,5,0)</f>
        <v>TL-SDSH 8.0KG AQUA, TLM, 30990</v>
      </c>
      <c r="E41" t="s">
        <v>1</v>
      </c>
      <c r="F41" t="s">
        <v>567</v>
      </c>
      <c r="G41" t="s">
        <v>671</v>
      </c>
      <c r="H41">
        <v>30990</v>
      </c>
      <c r="I41">
        <f>VLOOKUP(C41,[1]Sheet1!$A$2:$E$20000,5,0)</f>
        <v>30990</v>
      </c>
      <c r="J41" s="2">
        <f>H41-(0.04*H41)</f>
        <v>29750.400000000001</v>
      </c>
      <c r="K41" s="2" t="str">
        <f>VLOOKUP(B41,'[2]WM-TLM'!$B$2:$BA$100,41,0)</f>
        <v>B</v>
      </c>
      <c r="L41" t="s">
        <v>73</v>
      </c>
      <c r="M41">
        <v>8</v>
      </c>
      <c r="N41">
        <v>720</v>
      </c>
      <c r="O41">
        <v>38</v>
      </c>
      <c r="P41">
        <v>5</v>
      </c>
      <c r="Q41">
        <v>18</v>
      </c>
      <c r="R41">
        <v>1.2999999999999999E-2</v>
      </c>
      <c r="S41" t="s">
        <v>132</v>
      </c>
      <c r="V41" t="s">
        <v>98</v>
      </c>
      <c r="W41" t="s">
        <v>569</v>
      </c>
      <c r="X41" t="s">
        <v>100</v>
      </c>
      <c r="Y41" t="s">
        <v>101</v>
      </c>
      <c r="AB41" t="s">
        <v>572</v>
      </c>
      <c r="AC41" t="s">
        <v>573</v>
      </c>
      <c r="AD41" t="s">
        <v>574</v>
      </c>
      <c r="AF41" t="s">
        <v>105</v>
      </c>
      <c r="AG41" t="s">
        <v>106</v>
      </c>
      <c r="AH41" t="s">
        <v>575</v>
      </c>
      <c r="AI41" t="s">
        <v>307</v>
      </c>
      <c r="AK41" t="s">
        <v>577</v>
      </c>
      <c r="AL41" t="s">
        <v>578</v>
      </c>
      <c r="AO41" t="s">
        <v>581</v>
      </c>
      <c r="AP41" t="s">
        <v>582</v>
      </c>
    </row>
    <row r="42" spans="1:42" x14ac:dyDescent="0.25">
      <c r="A42">
        <v>41</v>
      </c>
      <c r="B42" s="1" t="s">
        <v>626</v>
      </c>
      <c r="C42" s="6">
        <v>8903287022340</v>
      </c>
      <c r="D42" s="7" t="str">
        <f>VLOOKUP(C42,[1]Sheet1!$A$2:$E$1223,2,0)&amp;", "&amp;VLOOKUP(C42,[1]Sheet1!$A$2:$E$1223,3,0)&amp;", "&amp;VLOOKUP(C42,[1]Sheet1!$A$2:$E$1223,5,0)</f>
        <v>TL-RESS 7.0KG AQUA, TLM, 23750</v>
      </c>
      <c r="E42" t="s">
        <v>1</v>
      </c>
      <c r="F42" t="s">
        <v>567</v>
      </c>
      <c r="G42" t="s">
        <v>672</v>
      </c>
      <c r="H42">
        <v>23750</v>
      </c>
      <c r="I42">
        <f>VLOOKUP(C42,[1]Sheet1!$A$2:$E$20000,5,0)</f>
        <v>23750</v>
      </c>
      <c r="J42" s="2">
        <f>H42-(0.04*H42)</f>
        <v>22800</v>
      </c>
      <c r="K42" s="2" t="str">
        <f>VLOOKUP(B42,'[2]WM-TLM'!$B$2:$BA$100,41,0)</f>
        <v>C</v>
      </c>
      <c r="L42" t="s">
        <v>73</v>
      </c>
      <c r="M42">
        <v>7</v>
      </c>
      <c r="N42">
        <v>720</v>
      </c>
      <c r="O42">
        <v>35</v>
      </c>
      <c r="P42">
        <v>5</v>
      </c>
      <c r="Q42">
        <v>18</v>
      </c>
      <c r="R42">
        <v>1.2999999999999999E-2</v>
      </c>
      <c r="S42" t="s">
        <v>132</v>
      </c>
      <c r="V42" t="s">
        <v>98</v>
      </c>
      <c r="W42" t="s">
        <v>569</v>
      </c>
      <c r="X42" t="s">
        <v>100</v>
      </c>
      <c r="Y42" t="s">
        <v>101</v>
      </c>
      <c r="AA42" t="s">
        <v>571</v>
      </c>
      <c r="AB42" t="s">
        <v>572</v>
      </c>
      <c r="AC42" t="s">
        <v>573</v>
      </c>
      <c r="AF42" t="s">
        <v>105</v>
      </c>
      <c r="AG42" t="s">
        <v>106</v>
      </c>
      <c r="AH42" t="s">
        <v>575</v>
      </c>
      <c r="AI42" t="s">
        <v>307</v>
      </c>
      <c r="AK42" t="s">
        <v>577</v>
      </c>
      <c r="AL42" t="s">
        <v>578</v>
      </c>
    </row>
    <row r="43" spans="1:42" x14ac:dyDescent="0.25">
      <c r="A43">
        <v>42</v>
      </c>
      <c r="B43" s="1" t="s">
        <v>627</v>
      </c>
      <c r="C43" s="6">
        <v>8903287022333</v>
      </c>
      <c r="D43" s="7" t="str">
        <f>VLOOKUP(C43,[1]Sheet1!$A$2:$E$1223,2,0)&amp;", "&amp;VLOOKUP(C43,[1]Sheet1!$A$2:$E$1223,3,0)&amp;", "&amp;VLOOKUP(C43,[1]Sheet1!$A$2:$E$1223,5,0)</f>
        <v>TL-SPSS 6.5KG AQUA, TLM, 27950</v>
      </c>
      <c r="E43" t="s">
        <v>1</v>
      </c>
      <c r="F43" t="s">
        <v>567</v>
      </c>
      <c r="G43" t="s">
        <v>673</v>
      </c>
      <c r="H43">
        <v>27950</v>
      </c>
      <c r="I43">
        <f>VLOOKUP(C43,[1]Sheet1!$A$2:$E$20000,5,0)</f>
        <v>27950</v>
      </c>
      <c r="J43" s="2">
        <f>H43-(0.04*H43)</f>
        <v>26832</v>
      </c>
      <c r="K43" s="2" t="str">
        <f>VLOOKUP(B43,'[2]WM-TLM'!$B$2:$BA$100,41,0)</f>
        <v>C</v>
      </c>
      <c r="L43" t="s">
        <v>73</v>
      </c>
      <c r="M43">
        <v>6.5</v>
      </c>
      <c r="N43">
        <v>720</v>
      </c>
      <c r="O43">
        <v>37</v>
      </c>
      <c r="P43">
        <v>5</v>
      </c>
      <c r="Q43">
        <v>18</v>
      </c>
      <c r="R43">
        <v>1.2999999999999999E-2</v>
      </c>
      <c r="S43" t="s">
        <v>132</v>
      </c>
      <c r="V43" t="s">
        <v>98</v>
      </c>
      <c r="W43" t="s">
        <v>569</v>
      </c>
      <c r="X43" t="s">
        <v>100</v>
      </c>
      <c r="Y43" t="s">
        <v>101</v>
      </c>
      <c r="AA43" t="s">
        <v>571</v>
      </c>
      <c r="AB43" t="s">
        <v>572</v>
      </c>
      <c r="AC43" t="s">
        <v>573</v>
      </c>
      <c r="AD43" t="s">
        <v>574</v>
      </c>
      <c r="AF43" t="s">
        <v>105</v>
      </c>
      <c r="AG43" t="s">
        <v>106</v>
      </c>
      <c r="AH43" t="s">
        <v>575</v>
      </c>
      <c r="AI43" t="s">
        <v>307</v>
      </c>
      <c r="AK43" t="s">
        <v>577</v>
      </c>
      <c r="AL43" t="s">
        <v>578</v>
      </c>
      <c r="AO43" t="s">
        <v>581</v>
      </c>
      <c r="AP43" t="s">
        <v>582</v>
      </c>
    </row>
    <row r="44" spans="1:42" x14ac:dyDescent="0.25">
      <c r="A44">
        <v>43</v>
      </c>
      <c r="B44" s="1" t="s">
        <v>628</v>
      </c>
      <c r="C44" s="6">
        <v>8903287027215</v>
      </c>
      <c r="D44" s="7" t="str">
        <f>VLOOKUP(C44,[1]Sheet1!$A$2:$E$1223,2,0)&amp;", "&amp;VLOOKUP(C44,[1]Sheet1!$A$2:$E$1223,3,0)&amp;", "&amp;VLOOKUP(C44,[1]Sheet1!$A$2:$E$1223,5,0)</f>
        <v>TL-R1WRS 6.5KG AQUA, TLM, 28990</v>
      </c>
      <c r="E44" t="s">
        <v>1</v>
      </c>
      <c r="F44" t="s">
        <v>567</v>
      </c>
      <c r="G44" t="s">
        <v>674</v>
      </c>
      <c r="H44">
        <v>24990</v>
      </c>
      <c r="I44">
        <f>VLOOKUP(C44,[1]Sheet1!$A$2:$E$20000,5,0)</f>
        <v>28990</v>
      </c>
      <c r="J44" s="2">
        <f>H44-(0.04*H44)</f>
        <v>23990.400000000001</v>
      </c>
      <c r="K44" s="2" t="str">
        <f>VLOOKUP(B44,'[2]WM-TLM'!$B$2:$BA$100,41,0)</f>
        <v>C</v>
      </c>
      <c r="L44" t="s">
        <v>73</v>
      </c>
      <c r="M44">
        <v>6.5</v>
      </c>
      <c r="N44">
        <v>720</v>
      </c>
      <c r="O44">
        <v>35</v>
      </c>
      <c r="P44">
        <v>5</v>
      </c>
      <c r="Q44">
        <v>18</v>
      </c>
      <c r="R44">
        <v>1.2999999999999999E-2</v>
      </c>
      <c r="S44" t="s">
        <v>221</v>
      </c>
      <c r="V44" t="s">
        <v>98</v>
      </c>
      <c r="W44" t="s">
        <v>569</v>
      </c>
      <c r="X44" t="s">
        <v>100</v>
      </c>
      <c r="Y44" t="s">
        <v>101</v>
      </c>
      <c r="AA44" t="s">
        <v>571</v>
      </c>
      <c r="AB44" t="s">
        <v>572</v>
      </c>
      <c r="AC44" t="s">
        <v>573</v>
      </c>
      <c r="AF44" t="s">
        <v>105</v>
      </c>
      <c r="AG44" t="s">
        <v>106</v>
      </c>
      <c r="AH44" t="s">
        <v>575</v>
      </c>
      <c r="AI44" t="s">
        <v>307</v>
      </c>
      <c r="AK44" t="s">
        <v>577</v>
      </c>
      <c r="AL44" t="s">
        <v>578</v>
      </c>
    </row>
    <row r="45" spans="1:42" x14ac:dyDescent="0.25">
      <c r="A45">
        <v>44</v>
      </c>
      <c r="B45" s="1" t="s">
        <v>629</v>
      </c>
      <c r="C45" s="6">
        <v>8903287031007</v>
      </c>
      <c r="D45" s="7" t="str">
        <f>VLOOKUP(C45,[1]Sheet1!$A$2:$E$1223,2,0)&amp;", "&amp;VLOOKUP(C45,[1]Sheet1!$A$2:$E$1223,3,0)&amp;", "&amp;VLOOKUP(C45,[1]Sheet1!$A$2:$E$1223,5,0)</f>
        <v>TL-R2BRS 8.0KG AQUA, TLM, 32990</v>
      </c>
      <c r="E45" t="s">
        <v>1</v>
      </c>
      <c r="F45" t="s">
        <v>567</v>
      </c>
      <c r="G45" t="s">
        <v>675</v>
      </c>
      <c r="H45">
        <v>32990</v>
      </c>
      <c r="I45">
        <f>VLOOKUP(C45,[1]Sheet1!$A$2:$E$20000,5,0)</f>
        <v>32990</v>
      </c>
      <c r="J45" s="2">
        <f>H45-(0.04*H45)</f>
        <v>31670.400000000001</v>
      </c>
      <c r="K45" s="2" t="str">
        <f>VLOOKUP(B45,'[2]WM-TLM'!$B$2:$BA$100,41,0)</f>
        <v>B</v>
      </c>
      <c r="L45" t="s">
        <v>73</v>
      </c>
      <c r="M45">
        <v>8</v>
      </c>
      <c r="N45">
        <v>720</v>
      </c>
      <c r="O45">
        <v>35</v>
      </c>
      <c r="P45">
        <v>5</v>
      </c>
      <c r="Q45">
        <v>18</v>
      </c>
      <c r="R45">
        <v>1.2999999999999999E-2</v>
      </c>
      <c r="S45" t="s">
        <v>631</v>
      </c>
      <c r="U45" t="s">
        <v>97</v>
      </c>
      <c r="V45" t="s">
        <v>98</v>
      </c>
      <c r="W45" t="s">
        <v>569</v>
      </c>
      <c r="X45" t="s">
        <v>100</v>
      </c>
      <c r="Y45" t="s">
        <v>101</v>
      </c>
      <c r="AB45" t="s">
        <v>572</v>
      </c>
      <c r="AC45" t="s">
        <v>573</v>
      </c>
      <c r="AF45" t="s">
        <v>105</v>
      </c>
      <c r="AG45" t="s">
        <v>106</v>
      </c>
      <c r="AH45" t="s">
        <v>575</v>
      </c>
      <c r="AI45" t="s">
        <v>307</v>
      </c>
      <c r="AK45" t="s">
        <v>577</v>
      </c>
      <c r="AN45" t="s">
        <v>580</v>
      </c>
      <c r="AO45" t="s">
        <v>581</v>
      </c>
      <c r="AP45" t="s">
        <v>582</v>
      </c>
    </row>
  </sheetData>
  <autoFilter ref="A1:AP45" xr:uid="{05FE128D-E9DF-404F-A022-6157E7875683}"/>
  <hyperlinks>
    <hyperlink ref="B2" r:id="rId1" display="https://www.ifbappliances.com/tl-sibs-10kg" xr:uid="{4E91D47E-01B2-4D1D-A0E5-0AF211B3E7AA}"/>
    <hyperlink ref="B3" r:id="rId2" display="https://www.ifbappliances.com/tl-slbs-9-kg-aqua" xr:uid="{5856E4AB-B77E-485A-A653-CA21B2DE450A}"/>
    <hyperlink ref="B4" r:id="rId3" display="https://www.ifbappliances.com/tl-spls-8-kg-aqua" xr:uid="{74E6413C-D413-4FBF-B73F-2A9EABC51C4A}"/>
    <hyperlink ref="B5" r:id="rId4" display="https://www.ifbappliances.com/tl-sbrs-8-kg-aqua" xr:uid="{ADED7F83-913A-41D8-A4D4-36B5CEDF07CA}"/>
    <hyperlink ref="B6" r:id="rId5" display="https://www.ifbappliances.com/tl-rpss-7-kg-aqua" xr:uid="{55CA4D97-D92F-45FD-8641-9151E1B6D791}"/>
    <hyperlink ref="B7" r:id="rId6" display="https://www.ifbappliances.com/tl-regs-7kg" xr:uid="{DE632F6E-FB69-4440-A8A4-CE268A587353}"/>
    <hyperlink ref="B8" r:id="rId7" display="https://www.ifbappliances.com/tl-spgs-7-kg-aqua" xr:uid="{F87D724E-A78B-4B39-8A01-B8BCFDB9EAC3}"/>
    <hyperlink ref="B9" r:id="rId8" display="https://www.ifbappliances.com/tl-rpss-6-5-kg-aqua" xr:uid="{F41D996C-DBD5-4B8A-BD5C-D3C9D9082B7C}"/>
    <hyperlink ref="B10" r:id="rId9" display="https://www.ifbappliances.com/tl-res" xr:uid="{C24523AD-4387-414D-8EF9-3C6FCCD685D7}"/>
    <hyperlink ref="B11" r:id="rId10" display="https://www.ifbappliances.com/tl-r2wrs-6-5-kg-aqua" xr:uid="{6F5B7A21-2DFA-4C8D-8D8E-C3BA6EF5F6BA}"/>
    <hyperlink ref="B12" r:id="rId11" display="https://www.ifbappliances.com/tl-r3sg-8-kg-aqua" xr:uid="{F5E104DD-1475-42E6-A898-B9A91CB6814F}"/>
    <hyperlink ref="B13" r:id="rId12" display="https://www.ifbappliances.com/tl-res-7-kg-aqua" xr:uid="{B5C25A0A-8D71-46B0-906F-F0342FA8AC4A}"/>
    <hyperlink ref="B14" r:id="rId13" display="https://www.ifbappliances.com/tl-rgs-7kg-aqua-720-rpm" xr:uid="{260707EB-2756-424C-AFEC-2B897840CDDC}"/>
    <hyperlink ref="B15" r:id="rId14" display="https://www.ifbappliances.com/tl-reg-7-kg-aqua" xr:uid="{EFEF8AB8-2B12-4FE0-BBA2-AA08435568D0}"/>
    <hyperlink ref="B16" r:id="rId15" display="https://www.ifbappliances.com/tl-reg-6-5kg-aqua-720-rpm" xr:uid="{56D6D37A-1647-44A1-A387-BAAF68E4F2C4}"/>
    <hyperlink ref="B17" r:id="rId16" display="https://www.ifbappliances.com/tl-r2brs-6-5-kg-aqua" xr:uid="{665C49AD-1CA9-45FB-9723-7874C08F34E5}"/>
    <hyperlink ref="B18" r:id="rId17" display="https://www.ifbappliances.com/tl-s4bls-10-kg-aqua" xr:uid="{1AA8AA27-37E5-408E-89B3-B46BAD0FEB1E}"/>
    <hyperlink ref="B19" r:id="rId18" display="https://www.ifbappliances.com/tl-r1brs-7-kg-aqua" xr:uid="{D095FCB0-3053-43B8-B16A-CF56111C794F}"/>
    <hyperlink ref="B20" r:id="rId19" display="https://www.ifbappliances.com/tl-r2br-7-kg-aqua" xr:uid="{2E2CDE1C-EE3C-4903-9E1B-0EB20989986F}"/>
    <hyperlink ref="B21" r:id="rId20" display="https://www.ifbappliances.com/tl-s4rbs-9-kg-aqua" xr:uid="{44AEF06E-5393-4C29-AFA4-F0F54939F8AE}"/>
    <hyperlink ref="B22" r:id="rId21" display="https://www.ifbappliances.com/tl-s1wrs-8-kg-aqua" xr:uid="{FE7C054F-E9CA-4390-B172-960C23412B89}"/>
    <hyperlink ref="B23" r:id="rId22" display="https://www.ifbappliances.com/tl-rss-6-5kg-aqua-720-rpm" xr:uid="{E3C4393B-4E7E-4235-84C7-510CCB30A4AA}"/>
    <hyperlink ref="B24" r:id="rId23" display="https://www.ifbappliances.com/tl-r1wrs-7-kg-aqua" xr:uid="{FB9F26DD-A1CB-4E35-9925-96F699F266C9}"/>
    <hyperlink ref="B25" r:id="rId24" display="https://www.ifbappliances.com/tl-s4sts-9-kg-aqua" xr:uid="{5C55C47A-AA14-4763-8FFE-5C79138628EE}"/>
    <hyperlink ref="B26" r:id="rId25" display="https://www.ifbappliances.com/tl-rews" xr:uid="{42E98C2D-23FE-499D-A3E5-9E508B1EA949}"/>
    <hyperlink ref="B27" r:id="rId26" display="https://www.ifbappliances.com/tl-rew" xr:uid="{FB3E8FFE-47FA-4C6B-BE4F-B9684A050C6A}"/>
    <hyperlink ref="B28" r:id="rId27" display="https://www.ifbappliances.com/tl-sbrh-8-0-kg-aqua-l-720-rpm" xr:uid="{EE51A491-768B-487C-88BC-29A124954F2E}"/>
    <hyperlink ref="B29" r:id="rId28" display="https://www.ifbappliances.com/tl-regs" xr:uid="{4BBFB68F-3084-4BBF-B7EF-C2AF0BF837B8}"/>
    <hyperlink ref="B30" r:id="rId29" display="https://www.ifbappliances.com/tl-rbr" xr:uid="{ACE99237-20BD-4E7A-B4FB-620250F548B7}"/>
    <hyperlink ref="B31" r:id="rId30" display="https://www.ifbappliances.com/tl-s4rbs-10-kg-aqua" xr:uid="{20FC4CE7-755C-4407-81CB-32D936D145E4}"/>
    <hyperlink ref="B32" r:id="rId31" display="https://www.ifbappliances.com/tl-r1wh-7-0-kg-aqua" xr:uid="{C86A3134-21E2-44F4-B70F-DECBE2794481}"/>
    <hyperlink ref="B33" r:id="rId32" display="https://www.ifbappliances.com/tl-sds-7kg-aqua-720-rpm" xr:uid="{AE6CA463-FD28-4EC1-AE8A-38306D56D00C}"/>
    <hyperlink ref="B34" r:id="rId33" display="https://www.ifbappliances.com/tl-sibs-11kg" xr:uid="{7122E3FF-4B66-4F7D-B3B7-DB3D62540B3C}"/>
    <hyperlink ref="B35" r:id="rId34" display="https://www.ifbappliances.com/tl-sdg-6-5kg-aqua-720-rpm" xr:uid="{ECEDDCC5-F169-4BD3-A56E-6A0074D7C7F8}"/>
    <hyperlink ref="B36" r:id="rId35" display="https://www.ifbappliances.com/tl-sdss-8-kg-aqua" xr:uid="{22F92DBF-4D0C-49F3-9395-D5B5BB06A29D}"/>
    <hyperlink ref="B37" r:id="rId36" display="https://www.ifbappliances.com/tl-s4ins-12-kg-aqua" xr:uid="{62E4B41A-F581-42C8-A4F4-3A3CDF4D28DF}"/>
    <hyperlink ref="B38" r:id="rId37" display="https://www.ifbappliances.com/tl-ssbl-9-kg" xr:uid="{70133AAE-565A-419A-9324-266A98354567}"/>
    <hyperlink ref="B39" r:id="rId38" display="https://www.ifbappliances.com/tl-s4rbs-12-kg-aqua" xr:uid="{DEA5CE43-5C1A-4537-8ABD-91F620A70793}"/>
    <hyperlink ref="B40" r:id="rId39" display="https://www.ifbappliances.com/tl-s1wrs-7-kg-aqua" xr:uid="{C4BC2531-654A-4E15-9929-EC85DE1F9B60}"/>
    <hyperlink ref="B41" r:id="rId40" display="https://www.ifbappliances.com/tl-sdsh-8-kg-aqua" xr:uid="{39AD32D0-0360-4706-B10A-00233266DEC0}"/>
    <hyperlink ref="B42" r:id="rId41" display="https://www.ifbappliances.com/tl-ress-7-kg-aqua" xr:uid="{2FD1481B-AB41-4503-95EB-3AF61F6C7FC2}"/>
    <hyperlink ref="B43" r:id="rId42" display="https://www.ifbappliances.com/tl-spss-6-5-kg-aqua" xr:uid="{F72CB683-6FA7-422C-87EC-AA2859DEC427}"/>
    <hyperlink ref="B44" r:id="rId43" display="https://www.ifbappliances.com/tl-r1wrs-6-5-kg-aqua" xr:uid="{13D88290-E8D4-44D4-AB17-BF5806178DA0}"/>
    <hyperlink ref="B45" r:id="rId44" display="https://www.ifbappliances.com/tl-r2brs-8-kg-aqua" xr:uid="{E906E12D-539F-4A22-8B03-6D68795641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0A5-EEB8-466D-B4FA-7F175DA5AD0A}">
  <sheetPr codeName="Sheet2"/>
  <dimension ref="A1:AB6"/>
  <sheetViews>
    <sheetView workbookViewId="0">
      <selection activeCell="I2" sqref="I2:K6"/>
    </sheetView>
  </sheetViews>
  <sheetFormatPr defaultRowHeight="15" x14ac:dyDescent="0.25"/>
  <cols>
    <col min="1" max="1" width="7.28515625" customWidth="1"/>
    <col min="2" max="2" width="12.5703125" bestFit="1" customWidth="1"/>
    <col min="3" max="3" width="17.5703125" customWidth="1"/>
    <col min="4" max="4" width="25.7109375" customWidth="1"/>
    <col min="6" max="6" width="8.28515625" bestFit="1" customWidth="1"/>
    <col min="7" max="7" width="55.28515625" bestFit="1" customWidth="1"/>
    <col min="8" max="8" width="13.5703125" customWidth="1"/>
    <col min="9" max="9" width="11.42578125" bestFit="1" customWidth="1"/>
    <col min="10" max="10" width="11.42578125" customWidth="1"/>
    <col min="11" max="11" width="6.140625" bestFit="1" customWidth="1"/>
    <col min="12" max="12" width="8.85546875" bestFit="1" customWidth="1"/>
    <col min="13" max="13" width="5" bestFit="1" customWidth="1"/>
    <col min="14" max="14" width="7.42578125" bestFit="1" customWidth="1"/>
    <col min="15" max="15" width="7.140625" bestFit="1" customWidth="1"/>
    <col min="16" max="16" width="10.85546875" bestFit="1" customWidth="1"/>
    <col min="17" max="17" width="7" bestFit="1" customWidth="1"/>
    <col min="18" max="18" width="12.85546875" bestFit="1" customWidth="1"/>
    <col min="19" max="19" width="12.5703125" bestFit="1" customWidth="1"/>
    <col min="20" max="20" width="10.28515625" bestFit="1" customWidth="1"/>
    <col min="21" max="21" width="17.7109375" bestFit="1" customWidth="1"/>
    <col min="22" max="22" width="9" bestFit="1" customWidth="1"/>
    <col min="23" max="23" width="13.7109375" bestFit="1" customWidth="1"/>
    <col min="24" max="24" width="22.140625" bestFit="1" customWidth="1"/>
    <col min="25" max="25" width="25.7109375" bestFit="1" customWidth="1"/>
    <col min="26" max="26" width="10.85546875" bestFit="1" customWidth="1"/>
    <col min="27" max="27" width="8.85546875" bestFit="1" customWidth="1"/>
    <col min="28" max="28" width="6.7109375" bestFit="1" customWidth="1"/>
  </cols>
  <sheetData>
    <row r="1" spans="1:28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 t="s">
        <v>70</v>
      </c>
      <c r="J1" s="4" t="s">
        <v>840</v>
      </c>
      <c r="K1" s="4" t="s">
        <v>72</v>
      </c>
      <c r="L1" s="4" t="s">
        <v>74</v>
      </c>
      <c r="M1" s="4" t="s">
        <v>75</v>
      </c>
      <c r="N1" s="4" t="s">
        <v>76</v>
      </c>
      <c r="O1" s="4" t="s">
        <v>200</v>
      </c>
      <c r="P1" s="4" t="s">
        <v>201</v>
      </c>
      <c r="Q1" s="4" t="s">
        <v>202</v>
      </c>
      <c r="R1" s="4" t="s">
        <v>84</v>
      </c>
      <c r="S1" s="4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92</v>
      </c>
      <c r="Y1" s="4" t="s">
        <v>93</v>
      </c>
      <c r="Z1" s="4" t="s">
        <v>210</v>
      </c>
      <c r="AA1" s="4" t="s">
        <v>211</v>
      </c>
      <c r="AB1" s="4" t="s">
        <v>212</v>
      </c>
    </row>
    <row r="2" spans="1:28" x14ac:dyDescent="0.25">
      <c r="A2">
        <v>1</v>
      </c>
      <c r="B2" s="1" t="s">
        <v>198</v>
      </c>
      <c r="C2" s="6">
        <v>8903287000676</v>
      </c>
      <c r="D2" s="7" t="str">
        <f>VLOOKUP(C2,[1]Sheet1!$A$2:$E$1223,2,0)&amp;", "&amp;VLOOKUP(C2,[1]Sheet1!$A$2:$E$1223,3,0)&amp;", "&amp;VLOOKUP(C2,[1]Sheet1!$A$2:$E$1223,5,0)</f>
        <v>TURBO DRY, CD, 25690</v>
      </c>
      <c r="E2" t="s">
        <v>199</v>
      </c>
      <c r="F2" t="s">
        <v>199</v>
      </c>
      <c r="G2" t="s">
        <v>676</v>
      </c>
      <c r="H2">
        <v>26690</v>
      </c>
      <c r="I2" s="2">
        <f>H2-(0.12*H2)</f>
        <v>23487.200000000001</v>
      </c>
      <c r="J2" s="2" t="str">
        <f>VLOOKUP(B2,[2]CD!$B$2:$BA$100,27,0)</f>
        <v>A+</v>
      </c>
      <c r="K2" t="s">
        <v>73</v>
      </c>
      <c r="L2">
        <v>5.5</v>
      </c>
      <c r="M2">
        <v>55</v>
      </c>
      <c r="N2">
        <v>26</v>
      </c>
      <c r="O2">
        <v>2.9</v>
      </c>
      <c r="P2">
        <v>13</v>
      </c>
      <c r="Q2" t="s">
        <v>124</v>
      </c>
      <c r="R2" t="s">
        <v>203</v>
      </c>
      <c r="S2" t="s">
        <v>204</v>
      </c>
      <c r="T2" t="s">
        <v>123</v>
      </c>
      <c r="U2" t="s">
        <v>205</v>
      </c>
      <c r="V2" t="s">
        <v>206</v>
      </c>
      <c r="W2" t="s">
        <v>207</v>
      </c>
      <c r="X2" t="s">
        <v>208</v>
      </c>
      <c r="Y2" t="s">
        <v>209</v>
      </c>
      <c r="Z2" t="s">
        <v>213</v>
      </c>
      <c r="AA2" t="s">
        <v>214</v>
      </c>
      <c r="AB2" t="s">
        <v>215</v>
      </c>
    </row>
    <row r="3" spans="1:28" x14ac:dyDescent="0.25">
      <c r="A3">
        <v>2</v>
      </c>
      <c r="B3" s="1" t="s">
        <v>216</v>
      </c>
      <c r="C3" s="6">
        <v>8903287000768</v>
      </c>
      <c r="D3" s="7" t="str">
        <f>VLOOKUP(C3,[1]Sheet1!$A$2:$E$1223,2,0)&amp;", "&amp;VLOOKUP(C3,[1]Sheet1!$A$2:$E$1223,3,0)&amp;", "&amp;VLOOKUP(C3,[1]Sheet1!$A$2:$E$1223,5,0)</f>
        <v>TURBO DRY MX, CD, 29990</v>
      </c>
      <c r="E3" t="s">
        <v>199</v>
      </c>
      <c r="F3" t="s">
        <v>199</v>
      </c>
      <c r="G3" t="s">
        <v>677</v>
      </c>
      <c r="H3">
        <v>30990</v>
      </c>
      <c r="I3" s="2">
        <f>H3-(0.12*H3)</f>
        <v>27271.200000000001</v>
      </c>
      <c r="J3" s="2" t="str">
        <f>VLOOKUP(B3,[2]CD!$B$2:$BA$100,27,0)</f>
        <v>A++</v>
      </c>
      <c r="K3" t="s">
        <v>73</v>
      </c>
      <c r="L3">
        <v>5.5</v>
      </c>
      <c r="M3">
        <v>55</v>
      </c>
      <c r="N3">
        <v>26</v>
      </c>
      <c r="O3">
        <v>2.9</v>
      </c>
      <c r="P3">
        <v>13</v>
      </c>
      <c r="Q3" t="s">
        <v>124</v>
      </c>
      <c r="R3" t="s">
        <v>203</v>
      </c>
      <c r="S3" t="s">
        <v>204</v>
      </c>
      <c r="T3" t="s">
        <v>123</v>
      </c>
      <c r="U3" t="s">
        <v>205</v>
      </c>
      <c r="V3" t="s">
        <v>206</v>
      </c>
      <c r="W3" t="s">
        <v>207</v>
      </c>
      <c r="X3" t="s">
        <v>208</v>
      </c>
      <c r="Y3" t="s">
        <v>209</v>
      </c>
      <c r="Z3" t="s">
        <v>213</v>
      </c>
      <c r="AA3" t="s">
        <v>214</v>
      </c>
      <c r="AB3" t="s">
        <v>215</v>
      </c>
    </row>
    <row r="4" spans="1:28" x14ac:dyDescent="0.25">
      <c r="A4">
        <v>3</v>
      </c>
      <c r="B4" s="1" t="s">
        <v>217</v>
      </c>
      <c r="C4" s="6">
        <v>8903287000751</v>
      </c>
      <c r="D4" s="7" t="str">
        <f>VLOOKUP(C4,[1]Sheet1!$A$2:$E$1223,2,0)&amp;", "&amp;VLOOKUP(C4,[1]Sheet1!$A$2:$E$1223,3,0)&amp;", "&amp;VLOOKUP(C4,[1]Sheet1!$A$2:$E$1223,5,0)</f>
        <v>TURBO DRY LX, CD, 29990</v>
      </c>
      <c r="E4" t="s">
        <v>199</v>
      </c>
      <c r="F4" t="s">
        <v>199</v>
      </c>
      <c r="G4" t="s">
        <v>678</v>
      </c>
      <c r="H4">
        <v>29990</v>
      </c>
      <c r="I4" s="2">
        <f>H4-(0.12*H4)</f>
        <v>26391.200000000001</v>
      </c>
      <c r="J4" s="2" t="str">
        <f>VLOOKUP(B4,[2]CD!$B$2:$BA$100,27,0)</f>
        <v>A++</v>
      </c>
      <c r="K4" t="s">
        <v>73</v>
      </c>
      <c r="L4">
        <v>5.5</v>
      </c>
      <c r="M4">
        <v>55</v>
      </c>
      <c r="N4">
        <v>26</v>
      </c>
      <c r="O4">
        <v>2.9</v>
      </c>
      <c r="P4">
        <v>13</v>
      </c>
      <c r="Q4" t="s">
        <v>220</v>
      </c>
      <c r="R4" t="s">
        <v>203</v>
      </c>
      <c r="S4" t="s">
        <v>204</v>
      </c>
      <c r="T4" t="s">
        <v>123</v>
      </c>
      <c r="U4" t="s">
        <v>205</v>
      </c>
      <c r="V4" t="s">
        <v>206</v>
      </c>
      <c r="W4" t="s">
        <v>207</v>
      </c>
      <c r="X4" t="s">
        <v>208</v>
      </c>
      <c r="Y4" t="s">
        <v>209</v>
      </c>
      <c r="Z4" t="s">
        <v>213</v>
      </c>
      <c r="AA4" t="s">
        <v>214</v>
      </c>
      <c r="AB4" t="s">
        <v>215</v>
      </c>
    </row>
    <row r="5" spans="1:28" x14ac:dyDescent="0.25">
      <c r="A5">
        <v>4</v>
      </c>
      <c r="B5" s="1" t="s">
        <v>218</v>
      </c>
      <c r="C5" s="6">
        <v>8903287000775</v>
      </c>
      <c r="D5" s="7" t="str">
        <f>VLOOKUP(C5,[1]Sheet1!$A$2:$E$1223,2,0)&amp;", "&amp;VLOOKUP(C5,[1]Sheet1!$A$2:$E$1223,3,0)&amp;", "&amp;VLOOKUP(C5,[1]Sheet1!$A$2:$E$1223,5,0)</f>
        <v>TURBO DRY RX, CD, 29990</v>
      </c>
      <c r="E5" t="s">
        <v>199</v>
      </c>
      <c r="F5" t="s">
        <v>199</v>
      </c>
      <c r="G5" t="s">
        <v>679</v>
      </c>
      <c r="H5">
        <v>29990</v>
      </c>
      <c r="I5" s="2">
        <f>H5-(0.12*H5)</f>
        <v>26391.200000000001</v>
      </c>
      <c r="J5" s="2" t="str">
        <f>VLOOKUP(B5,[2]CD!$B$2:$BA$100,27,0)</f>
        <v>A++</v>
      </c>
      <c r="K5" t="s">
        <v>73</v>
      </c>
      <c r="L5">
        <v>5.5</v>
      </c>
      <c r="M5">
        <v>55</v>
      </c>
      <c r="N5">
        <v>26</v>
      </c>
      <c r="O5">
        <v>2.9</v>
      </c>
      <c r="P5">
        <v>13</v>
      </c>
      <c r="Q5" t="s">
        <v>221</v>
      </c>
      <c r="R5" t="s">
        <v>203</v>
      </c>
      <c r="S5" t="s">
        <v>204</v>
      </c>
      <c r="T5" t="s">
        <v>123</v>
      </c>
      <c r="U5" t="s">
        <v>205</v>
      </c>
      <c r="V5" t="s">
        <v>206</v>
      </c>
      <c r="W5" t="s">
        <v>207</v>
      </c>
      <c r="X5" t="s">
        <v>208</v>
      </c>
      <c r="Y5" t="s">
        <v>209</v>
      </c>
      <c r="Z5" t="s">
        <v>213</v>
      </c>
      <c r="AA5" t="s">
        <v>214</v>
      </c>
      <c r="AB5" t="s">
        <v>215</v>
      </c>
    </row>
    <row r="6" spans="1:28" x14ac:dyDescent="0.25">
      <c r="A6">
        <v>5</v>
      </c>
      <c r="B6" s="1" t="s">
        <v>219</v>
      </c>
      <c r="C6" s="6">
        <v>8903287000669</v>
      </c>
      <c r="D6" s="7" t="str">
        <f>VLOOKUP(C6,[1]Sheet1!$A$2:$E$1223,2,0)&amp;", "&amp;VLOOKUP(C6,[1]Sheet1!$A$2:$E$1223,3,0)&amp;", "&amp;VLOOKUP(C6,[1]Sheet1!$A$2:$E$1223,5,0)</f>
        <v>TURBO DRY EX, CD, 26990</v>
      </c>
      <c r="E6" t="s">
        <v>199</v>
      </c>
      <c r="F6" t="s">
        <v>199</v>
      </c>
      <c r="G6" t="s">
        <v>680</v>
      </c>
      <c r="H6">
        <v>27990</v>
      </c>
      <c r="I6" s="2">
        <f>H6-(0.12*H6)</f>
        <v>24631.200000000001</v>
      </c>
      <c r="J6" s="2" t="str">
        <f>VLOOKUP(B6,[2]CD!$B$2:$BA$100,27,0)</f>
        <v>A++</v>
      </c>
      <c r="K6" t="s">
        <v>73</v>
      </c>
      <c r="L6">
        <v>5.5</v>
      </c>
      <c r="M6">
        <v>55</v>
      </c>
      <c r="N6">
        <v>26</v>
      </c>
      <c r="O6">
        <v>2.9</v>
      </c>
      <c r="P6">
        <v>13</v>
      </c>
      <c r="Q6" t="s">
        <v>81</v>
      </c>
      <c r="R6" t="s">
        <v>203</v>
      </c>
      <c r="S6" t="s">
        <v>204</v>
      </c>
      <c r="T6" t="s">
        <v>123</v>
      </c>
      <c r="U6" t="s">
        <v>205</v>
      </c>
      <c r="V6" t="s">
        <v>206</v>
      </c>
      <c r="W6" t="s">
        <v>207</v>
      </c>
      <c r="X6" t="s">
        <v>208</v>
      </c>
      <c r="Y6" t="s">
        <v>209</v>
      </c>
      <c r="Z6" t="s">
        <v>213</v>
      </c>
      <c r="AA6" t="s">
        <v>214</v>
      </c>
      <c r="AB6" t="s">
        <v>215</v>
      </c>
    </row>
  </sheetData>
  <autoFilter ref="A1:AB6" xr:uid="{B04C10A5-EEB8-466D-B4FA-7F175DA5AD0A}"/>
  <hyperlinks>
    <hyperlink ref="B2" r:id="rId1" display="https://www.ifbappliances.com/turbodry-550-5-5kg-l-55rpm" xr:uid="{E9E83CD5-C990-4A96-B80B-EC539CDE363C}"/>
    <hyperlink ref="B3" r:id="rId2" display="https://www.ifbappliances.com/turbo-dry-mx" xr:uid="{275CF103-EC36-4CC8-8783-DCB769943394}"/>
    <hyperlink ref="B4" r:id="rId3" display="https://www.ifbappliances.com/turbo-dry-lx" xr:uid="{F877F48A-1FA8-4FED-9BB1-0286032EBE37}"/>
    <hyperlink ref="B5" r:id="rId4" display="https://www.ifbappliances.com/turbo-dry-rx" xr:uid="{03425B1F-6A68-41B0-AD5B-EBA74B0421A9}"/>
    <hyperlink ref="B6" r:id="rId5" display="https://www.ifbappliances.com/turbodry-ex-5-5kg-l-55rpm" xr:uid="{8EE22BA9-A987-4E85-8BE2-DCD8D9D6D65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23FA-7284-4115-ACF4-DFA83A579E46}">
  <sheetPr codeName="Sheet3"/>
  <dimension ref="A1:AI23"/>
  <sheetViews>
    <sheetView workbookViewId="0">
      <selection activeCell="A2" sqref="A2:L23"/>
    </sheetView>
  </sheetViews>
  <sheetFormatPr defaultRowHeight="15" x14ac:dyDescent="0.25"/>
  <cols>
    <col min="2" max="2" width="12.28515625" bestFit="1" customWidth="1"/>
    <col min="3" max="3" width="22.7109375" customWidth="1"/>
    <col min="4" max="4" width="42" customWidth="1"/>
    <col min="6" max="6" width="14.85546875" bestFit="1" customWidth="1"/>
    <col min="7" max="7" width="54" bestFit="1" customWidth="1"/>
    <col min="8" max="9" width="10.42578125" customWidth="1"/>
    <col min="10" max="10" width="11.42578125" bestFit="1" customWidth="1"/>
    <col min="11" max="11" width="11.42578125" customWidth="1"/>
    <col min="12" max="12" width="6.140625" bestFit="1" customWidth="1"/>
    <col min="13" max="13" width="8.85546875" bestFit="1" customWidth="1"/>
    <col min="14" max="14" width="24.5703125" bestFit="1" customWidth="1"/>
    <col min="15" max="15" width="7.42578125" bestFit="1" customWidth="1"/>
    <col min="17" max="17" width="6" bestFit="1" customWidth="1"/>
    <col min="18" max="18" width="11.7109375" bestFit="1" customWidth="1"/>
    <col min="19" max="19" width="14.7109375" bestFit="1" customWidth="1"/>
    <col min="20" max="20" width="11.85546875" bestFit="1" customWidth="1"/>
    <col min="21" max="21" width="8.7109375" bestFit="1" customWidth="1"/>
    <col min="22" max="22" width="10.5703125" bestFit="1" customWidth="1"/>
    <col min="23" max="23" width="11.42578125" bestFit="1" customWidth="1"/>
    <col min="24" max="24" width="10.85546875" bestFit="1" customWidth="1"/>
    <col min="25" max="25" width="26.42578125" bestFit="1" customWidth="1"/>
    <col min="26" max="26" width="7.7109375" bestFit="1" customWidth="1"/>
    <col min="27" max="27" width="12.7109375" bestFit="1" customWidth="1"/>
    <col min="28" max="28" width="9.7109375" bestFit="1" customWidth="1"/>
    <col min="29" max="29" width="21.42578125" bestFit="1" customWidth="1"/>
    <col min="30" max="30" width="23.85546875" bestFit="1" customWidth="1"/>
    <col min="31" max="31" width="15.7109375" bestFit="1" customWidth="1"/>
    <col min="32" max="32" width="28" bestFit="1" customWidth="1"/>
    <col min="33" max="33" width="6" bestFit="1" customWidth="1"/>
    <col min="34" max="34" width="12" bestFit="1" customWidth="1"/>
    <col min="35" max="35" width="12.5703125" bestFit="1" customWidth="1"/>
  </cols>
  <sheetData>
    <row r="1" spans="1:35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/>
      <c r="J1" s="4" t="s">
        <v>70</v>
      </c>
      <c r="K1" s="4" t="s">
        <v>840</v>
      </c>
      <c r="L1" s="4" t="s">
        <v>72</v>
      </c>
      <c r="M1" s="4" t="s">
        <v>74</v>
      </c>
      <c r="N1" s="4" t="s">
        <v>228</v>
      </c>
      <c r="O1" s="4" t="s">
        <v>76</v>
      </c>
      <c r="P1" s="4" t="s">
        <v>230</v>
      </c>
      <c r="Q1" s="4" t="s">
        <v>202</v>
      </c>
      <c r="R1" s="4" t="s">
        <v>84</v>
      </c>
      <c r="S1" s="4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110</v>
      </c>
      <c r="AA1" s="4" t="s">
        <v>129</v>
      </c>
      <c r="AB1" s="4" t="s">
        <v>274</v>
      </c>
      <c r="AC1" s="4" t="s">
        <v>92</v>
      </c>
      <c r="AD1" s="4" t="s">
        <v>93</v>
      </c>
      <c r="AE1" s="4" t="s">
        <v>94</v>
      </c>
      <c r="AF1" s="4" t="s">
        <v>95</v>
      </c>
      <c r="AG1" s="4" t="s">
        <v>235</v>
      </c>
      <c r="AH1" s="4" t="s">
        <v>243</v>
      </c>
      <c r="AI1" s="4" t="s">
        <v>244</v>
      </c>
    </row>
    <row r="2" spans="1:35" x14ac:dyDescent="0.25">
      <c r="A2">
        <f>ROW(B1)</f>
        <v>1</v>
      </c>
      <c r="B2" s="1" t="s">
        <v>222</v>
      </c>
      <c r="C2" s="6">
        <v>8903287005602</v>
      </c>
      <c r="D2" s="7" t="str">
        <f>VLOOKUP(C2,[1]Sheet1!$A$2:$E$1223,2,0)&amp;", "&amp;VLOOKUP(C2,[1]Sheet1!$A$2:$E$1223,3,0)&amp;", "&amp;VLOOKUP(C2,[1]Sheet1!$A$2:$E$1223,5,0)</f>
        <v>MICRO WAVE OVEN 20PM-MEC2B, MW, 7690</v>
      </c>
      <c r="E2" t="s">
        <v>226</v>
      </c>
      <c r="F2" t="s">
        <v>227</v>
      </c>
      <c r="G2" t="s">
        <v>681</v>
      </c>
      <c r="H2">
        <v>7690</v>
      </c>
      <c r="J2" s="2">
        <f>H2-(H2*0.03)</f>
        <v>7459.3</v>
      </c>
      <c r="K2" s="2" t="str">
        <f>VLOOKUP(B2,[2]MW!$B$2:$BA$100,33,0)</f>
        <v>C</v>
      </c>
      <c r="L2" t="s">
        <v>73</v>
      </c>
      <c r="M2">
        <v>20</v>
      </c>
      <c r="N2" t="s">
        <v>229</v>
      </c>
      <c r="O2">
        <v>10.8</v>
      </c>
      <c r="P2">
        <v>800</v>
      </c>
      <c r="Q2" t="s">
        <v>133</v>
      </c>
      <c r="R2" t="s">
        <v>231</v>
      </c>
      <c r="S2" t="s">
        <v>232</v>
      </c>
      <c r="AC2" t="s">
        <v>233</v>
      </c>
      <c r="AD2" t="s">
        <v>234</v>
      </c>
      <c r="AG2" t="s">
        <v>236</v>
      </c>
    </row>
    <row r="3" spans="1:35" x14ac:dyDescent="0.25">
      <c r="A3">
        <f t="shared" ref="A3:A23" si="0">ROW(B2)</f>
        <v>2</v>
      </c>
      <c r="B3" s="1" t="s">
        <v>223</v>
      </c>
      <c r="C3" s="6">
        <v>8903287005589</v>
      </c>
      <c r="D3" s="7" t="str">
        <f>VLOOKUP(C3,[1]Sheet1!$A$2:$E$1223,2,0)&amp;", "&amp;VLOOKUP(C3,[1]Sheet1!$A$2:$E$1223,3,0)&amp;", "&amp;VLOOKUP(C3,[1]Sheet1!$A$2:$E$1223,5,0)</f>
        <v>MICROWAVE OVEN 25PM2S, MW, 9590</v>
      </c>
      <c r="E3" t="s">
        <v>226</v>
      </c>
      <c r="F3" t="s">
        <v>227</v>
      </c>
      <c r="G3" t="s">
        <v>682</v>
      </c>
      <c r="H3">
        <v>9590</v>
      </c>
      <c r="J3" s="2">
        <f t="shared" ref="J3:J4" si="1">H3-(H3*0.03)</f>
        <v>9302.2999999999993</v>
      </c>
      <c r="K3" s="2" t="str">
        <f>VLOOKUP(B3,[2]MW!$B$2:$BA$100,33,0)</f>
        <v>C</v>
      </c>
      <c r="L3" t="s">
        <v>73</v>
      </c>
      <c r="M3">
        <v>25</v>
      </c>
      <c r="N3" t="s">
        <v>229</v>
      </c>
      <c r="O3">
        <v>13.4</v>
      </c>
      <c r="P3">
        <v>900</v>
      </c>
      <c r="Q3" t="s">
        <v>81</v>
      </c>
      <c r="R3" t="s">
        <v>231</v>
      </c>
      <c r="S3" t="s">
        <v>232</v>
      </c>
      <c r="T3" t="s">
        <v>237</v>
      </c>
      <c r="U3" t="s">
        <v>238</v>
      </c>
      <c r="V3" t="s">
        <v>239</v>
      </c>
      <c r="W3" t="s">
        <v>240</v>
      </c>
      <c r="X3" t="s">
        <v>241</v>
      </c>
      <c r="AC3" t="s">
        <v>233</v>
      </c>
      <c r="AD3" t="s">
        <v>234</v>
      </c>
      <c r="AE3" t="s">
        <v>242</v>
      </c>
      <c r="AG3" t="s">
        <v>236</v>
      </c>
      <c r="AH3" t="s">
        <v>245</v>
      </c>
      <c r="AI3" t="s">
        <v>246</v>
      </c>
    </row>
    <row r="4" spans="1:35" x14ac:dyDescent="0.25">
      <c r="A4">
        <f t="shared" si="0"/>
        <v>3</v>
      </c>
      <c r="B4" s="1" t="s">
        <v>224</v>
      </c>
      <c r="C4" s="6">
        <v>8903287005695</v>
      </c>
      <c r="D4" s="7" t="str">
        <f>VLOOKUP(C4,[1]Sheet1!$A$2:$E$1223,2,0)&amp;", "&amp;VLOOKUP(C4,[1]Sheet1!$A$2:$E$1223,3,0)&amp;", "&amp;VLOOKUP(C4,[1]Sheet1!$A$2:$E$1223,5,0)</f>
        <v>MICRO WAVE OVEN 24PM2B, MW, 8990</v>
      </c>
      <c r="E4" t="s">
        <v>226</v>
      </c>
      <c r="F4" t="s">
        <v>227</v>
      </c>
      <c r="G4" t="s">
        <v>683</v>
      </c>
      <c r="H4">
        <v>8990</v>
      </c>
      <c r="J4" s="2">
        <f t="shared" si="1"/>
        <v>8720.2999999999993</v>
      </c>
      <c r="K4" s="2" t="str">
        <f>VLOOKUP(B4,[2]MW!$B$2:$BA$100,33,0)</f>
        <v>C</v>
      </c>
      <c r="L4" t="s">
        <v>73</v>
      </c>
      <c r="M4">
        <v>24</v>
      </c>
      <c r="N4" t="s">
        <v>247</v>
      </c>
      <c r="O4">
        <v>11.8</v>
      </c>
      <c r="P4">
        <v>900</v>
      </c>
      <c r="Q4" t="s">
        <v>133</v>
      </c>
      <c r="R4" t="s">
        <v>231</v>
      </c>
      <c r="S4" t="s">
        <v>232</v>
      </c>
      <c r="T4" t="s">
        <v>237</v>
      </c>
      <c r="U4" t="s">
        <v>238</v>
      </c>
      <c r="V4" t="s">
        <v>239</v>
      </c>
      <c r="W4" t="s">
        <v>240</v>
      </c>
      <c r="X4" t="s">
        <v>241</v>
      </c>
      <c r="AC4" t="s">
        <v>233</v>
      </c>
      <c r="AD4" t="s">
        <v>234</v>
      </c>
      <c r="AE4" t="s">
        <v>242</v>
      </c>
      <c r="AG4" t="s">
        <v>236</v>
      </c>
      <c r="AH4" t="s">
        <v>245</v>
      </c>
      <c r="AI4" t="s">
        <v>246</v>
      </c>
    </row>
    <row r="5" spans="1:35" x14ac:dyDescent="0.25">
      <c r="A5">
        <f t="shared" si="0"/>
        <v>4</v>
      </c>
      <c r="B5" s="1" t="s">
        <v>225</v>
      </c>
      <c r="C5" s="6">
        <v>8903287005596</v>
      </c>
      <c r="D5" s="7" t="str">
        <f>VLOOKUP(C5,[1]Sheet1!$A$2:$E$1223,2,0)&amp;", "&amp;VLOOKUP(C5,[1]Sheet1!$A$2:$E$1223,3,0)&amp;", "&amp;VLOOKUP(C5,[1]Sheet1!$A$2:$E$1223,5,0)</f>
        <v>MICRO WAVE OVEN 20PM-MEC2, MW, 7390</v>
      </c>
      <c r="E5" t="s">
        <v>226</v>
      </c>
      <c r="F5" t="s">
        <v>227</v>
      </c>
      <c r="G5" t="s">
        <v>684</v>
      </c>
      <c r="H5">
        <v>7490</v>
      </c>
      <c r="J5" s="2">
        <f>H5-(H5*0.03)</f>
        <v>7265.3</v>
      </c>
      <c r="K5" s="2" t="str">
        <f>VLOOKUP(B5,[2]MW!$B$2:$BA$100,33,0)</f>
        <v>C</v>
      </c>
      <c r="L5" t="s">
        <v>73</v>
      </c>
      <c r="M5">
        <v>20</v>
      </c>
      <c r="N5" t="s">
        <v>229</v>
      </c>
      <c r="O5">
        <v>10.8</v>
      </c>
      <c r="P5">
        <v>800</v>
      </c>
      <c r="Q5" t="s">
        <v>127</v>
      </c>
      <c r="R5" t="s">
        <v>231</v>
      </c>
      <c r="S5" t="s">
        <v>232</v>
      </c>
      <c r="AC5" t="s">
        <v>233</v>
      </c>
      <c r="AD5" t="s">
        <v>234</v>
      </c>
      <c r="AG5" t="s">
        <v>236</v>
      </c>
    </row>
    <row r="6" spans="1:35" x14ac:dyDescent="0.25">
      <c r="A6">
        <f t="shared" si="0"/>
        <v>5</v>
      </c>
      <c r="B6" s="1" t="s">
        <v>248</v>
      </c>
      <c r="C6" s="6">
        <v>8903287005404</v>
      </c>
      <c r="D6" s="7" t="str">
        <f>VLOOKUP(C6,[1]Sheet1!$A$2:$E$1223,2,0)&amp;", "&amp;VLOOKUP(C6,[1]Sheet1!$A$2:$E$1223,3,0)&amp;", "&amp;VLOOKUP(C6,[1]Sheet1!$A$2:$E$1223,5,0)</f>
        <v>MICRO WAVE OVEN 20PG4S, MW, 10590</v>
      </c>
      <c r="E6" t="s">
        <v>226</v>
      </c>
      <c r="F6" t="s">
        <v>249</v>
      </c>
      <c r="G6" t="s">
        <v>685</v>
      </c>
      <c r="H6">
        <v>10590</v>
      </c>
      <c r="J6" s="2">
        <f>H6-(H6*0.03)</f>
        <v>10272.299999999999</v>
      </c>
      <c r="K6" s="2" t="str">
        <f>VLOOKUP(B6,[2]MW!$B$2:$BA$100,33,0)</f>
        <v>C</v>
      </c>
      <c r="L6" t="s">
        <v>73</v>
      </c>
      <c r="M6">
        <v>20</v>
      </c>
      <c r="N6" t="s">
        <v>229</v>
      </c>
      <c r="O6">
        <v>13.4</v>
      </c>
      <c r="P6">
        <v>800</v>
      </c>
      <c r="Q6" t="s">
        <v>81</v>
      </c>
      <c r="R6" t="s">
        <v>231</v>
      </c>
      <c r="S6" t="s">
        <v>232</v>
      </c>
      <c r="T6" t="s">
        <v>237</v>
      </c>
      <c r="V6" t="s">
        <v>239</v>
      </c>
      <c r="X6" t="s">
        <v>241</v>
      </c>
      <c r="Y6" t="s">
        <v>250</v>
      </c>
      <c r="AC6" t="s">
        <v>233</v>
      </c>
      <c r="AD6" t="s">
        <v>234</v>
      </c>
      <c r="AE6" t="s">
        <v>242</v>
      </c>
      <c r="AG6" t="s">
        <v>236</v>
      </c>
      <c r="AH6" t="s">
        <v>245</v>
      </c>
      <c r="AI6" t="s">
        <v>246</v>
      </c>
    </row>
    <row r="7" spans="1:35" x14ac:dyDescent="0.25">
      <c r="A7">
        <f t="shared" si="0"/>
        <v>6</v>
      </c>
      <c r="B7" s="1" t="s">
        <v>251</v>
      </c>
      <c r="C7" s="6">
        <v>8903287005213</v>
      </c>
      <c r="D7" s="7" t="str">
        <f>VLOOKUP(C7,[1]Sheet1!$A$2:$E$1223,2,0)&amp;", "&amp;VLOOKUP(C7,[1]Sheet1!$A$2:$E$1223,3,0)&amp;", "&amp;VLOOKUP(C7,[1]Sheet1!$A$2:$E$1223,5,0)</f>
        <v>MICRO WAVE OVEN CONVECTION 23SC3, MW, 14990</v>
      </c>
      <c r="E7" t="s">
        <v>226</v>
      </c>
      <c r="F7" t="s">
        <v>268</v>
      </c>
      <c r="G7" t="s">
        <v>686</v>
      </c>
      <c r="H7">
        <v>14990</v>
      </c>
      <c r="J7" s="2">
        <f t="shared" ref="J7:J23" si="2">H7-(H7*0.08)</f>
        <v>13790.8</v>
      </c>
      <c r="K7" s="2" t="str">
        <f>VLOOKUP(B7,[2]MW!$B$2:$BA$100,33,0)</f>
        <v>B</v>
      </c>
      <c r="L7" t="s">
        <v>73</v>
      </c>
      <c r="M7">
        <v>23</v>
      </c>
      <c r="N7" t="s">
        <v>229</v>
      </c>
      <c r="O7">
        <v>16</v>
      </c>
      <c r="P7">
        <v>900</v>
      </c>
      <c r="Q7" t="s">
        <v>81</v>
      </c>
      <c r="R7" t="s">
        <v>231</v>
      </c>
      <c r="S7" t="s">
        <v>271</v>
      </c>
      <c r="T7" t="s">
        <v>237</v>
      </c>
      <c r="U7" t="s">
        <v>238</v>
      </c>
      <c r="V7" t="s">
        <v>239</v>
      </c>
      <c r="W7" t="s">
        <v>240</v>
      </c>
      <c r="X7" t="s">
        <v>241</v>
      </c>
      <c r="Y7" t="s">
        <v>272</v>
      </c>
      <c r="Z7" t="s">
        <v>269</v>
      </c>
      <c r="AA7" t="s">
        <v>270</v>
      </c>
      <c r="AC7" t="s">
        <v>233</v>
      </c>
      <c r="AD7" t="s">
        <v>234</v>
      </c>
      <c r="AE7" t="s">
        <v>242</v>
      </c>
      <c r="AF7" t="s">
        <v>273</v>
      </c>
      <c r="AG7" t="s">
        <v>236</v>
      </c>
      <c r="AH7" t="s">
        <v>245</v>
      </c>
      <c r="AI7" t="s">
        <v>246</v>
      </c>
    </row>
    <row r="8" spans="1:35" x14ac:dyDescent="0.25">
      <c r="A8">
        <f t="shared" si="0"/>
        <v>7</v>
      </c>
      <c r="B8" s="1" t="s">
        <v>252</v>
      </c>
      <c r="C8" s="6">
        <v>8903287005268</v>
      </c>
      <c r="D8" s="7" t="str">
        <f>VLOOKUP(C8,[1]Sheet1!$A$2:$E$1223,2,0)&amp;", "&amp;VLOOKUP(C8,[1]Sheet1!$A$2:$E$1223,3,0)&amp;", "&amp;VLOOKUP(C8,[1]Sheet1!$A$2:$E$1223,5,0)</f>
        <v>MICRO WAVE OVEN 25BC3, MW, 17490</v>
      </c>
      <c r="E8" t="s">
        <v>226</v>
      </c>
      <c r="F8" t="s">
        <v>268</v>
      </c>
      <c r="G8" t="s">
        <v>687</v>
      </c>
      <c r="H8">
        <v>17490</v>
      </c>
      <c r="J8" s="2">
        <f t="shared" si="2"/>
        <v>16090.8</v>
      </c>
      <c r="K8" s="2" t="str">
        <f>VLOOKUP(B8,[2]MW!$B$2:$BA$100,33,0)</f>
        <v>A+</v>
      </c>
      <c r="L8" t="s">
        <v>73</v>
      </c>
      <c r="M8">
        <v>25</v>
      </c>
      <c r="N8" t="s">
        <v>229</v>
      </c>
      <c r="O8">
        <v>16</v>
      </c>
      <c r="P8">
        <v>900</v>
      </c>
      <c r="Q8" t="s">
        <v>133</v>
      </c>
      <c r="R8" t="s">
        <v>231</v>
      </c>
      <c r="S8" t="s">
        <v>271</v>
      </c>
      <c r="T8" t="s">
        <v>237</v>
      </c>
      <c r="V8" t="s">
        <v>239</v>
      </c>
      <c r="W8" t="s">
        <v>240</v>
      </c>
      <c r="X8" t="s">
        <v>241</v>
      </c>
      <c r="Y8" t="s">
        <v>272</v>
      </c>
      <c r="Z8" t="s">
        <v>269</v>
      </c>
      <c r="AA8" t="s">
        <v>270</v>
      </c>
      <c r="AC8" t="s">
        <v>233</v>
      </c>
      <c r="AE8" t="s">
        <v>242</v>
      </c>
      <c r="AF8" t="s">
        <v>273</v>
      </c>
      <c r="AG8" t="s">
        <v>236</v>
      </c>
      <c r="AH8" t="s">
        <v>245</v>
      </c>
      <c r="AI8" t="s">
        <v>246</v>
      </c>
    </row>
    <row r="9" spans="1:35" x14ac:dyDescent="0.25">
      <c r="A9">
        <f t="shared" si="0"/>
        <v>8</v>
      </c>
      <c r="B9" s="1" t="s">
        <v>253</v>
      </c>
      <c r="C9" s="6">
        <v>8903287005220</v>
      </c>
      <c r="D9" s="7" t="str">
        <f>VLOOKUP(C9,[1]Sheet1!$A$2:$E$1223,2,0)&amp;", "&amp;VLOOKUP(C9,[1]Sheet1!$A$2:$E$1223,3,0)&amp;", "&amp;VLOOKUP(C9,[1]Sheet1!$A$2:$E$1223,5,0)</f>
        <v>MICRO WAVE OVEN CONVECTION 30BRC2, MW, 20390</v>
      </c>
      <c r="E9" t="s">
        <v>226</v>
      </c>
      <c r="F9" t="s">
        <v>268</v>
      </c>
      <c r="G9" t="s">
        <v>688</v>
      </c>
      <c r="H9">
        <v>20390</v>
      </c>
      <c r="J9" s="2">
        <f t="shared" si="2"/>
        <v>18758.8</v>
      </c>
      <c r="K9" s="2" t="str">
        <f>VLOOKUP(B9,[2]MW!$B$2:$BA$100,33,0)</f>
        <v>A++</v>
      </c>
      <c r="L9" t="s">
        <v>73</v>
      </c>
      <c r="M9">
        <v>30</v>
      </c>
      <c r="N9" t="s">
        <v>229</v>
      </c>
      <c r="O9">
        <v>19</v>
      </c>
      <c r="P9">
        <v>900</v>
      </c>
      <c r="Q9" t="s">
        <v>133</v>
      </c>
      <c r="R9" t="s">
        <v>231</v>
      </c>
      <c r="S9" t="s">
        <v>271</v>
      </c>
      <c r="T9" t="s">
        <v>237</v>
      </c>
      <c r="U9" t="s">
        <v>238</v>
      </c>
      <c r="V9" t="s">
        <v>239</v>
      </c>
      <c r="W9" t="s">
        <v>240</v>
      </c>
      <c r="X9" t="s">
        <v>241</v>
      </c>
      <c r="Y9" t="s">
        <v>272</v>
      </c>
      <c r="Z9" t="s">
        <v>269</v>
      </c>
      <c r="AA9" t="s">
        <v>270</v>
      </c>
      <c r="AC9" t="s">
        <v>233</v>
      </c>
      <c r="AD9" t="s">
        <v>234</v>
      </c>
      <c r="AE9" t="s">
        <v>242</v>
      </c>
      <c r="AF9" t="s">
        <v>273</v>
      </c>
      <c r="AG9" t="s">
        <v>236</v>
      </c>
      <c r="AH9" t="s">
        <v>245</v>
      </c>
      <c r="AI9" t="s">
        <v>246</v>
      </c>
    </row>
    <row r="10" spans="1:35" x14ac:dyDescent="0.25">
      <c r="A10">
        <f t="shared" si="0"/>
        <v>9</v>
      </c>
      <c r="B10" s="1" t="s">
        <v>254</v>
      </c>
      <c r="C10" s="6">
        <v>8903287005312</v>
      </c>
      <c r="D10" s="7" t="str">
        <f>VLOOKUP(C10,[1]Sheet1!$A$2:$E$1223,2,0)&amp;", "&amp;VLOOKUP(C10,[1]Sheet1!$A$2:$E$1223,3,0)&amp;", "&amp;VLOOKUP(C10,[1]Sheet1!$A$2:$E$1223,5,0)</f>
        <v>MICRO WAVE OVEN 23BC4, MW, 16790</v>
      </c>
      <c r="E10" t="s">
        <v>226</v>
      </c>
      <c r="F10" t="s">
        <v>268</v>
      </c>
      <c r="G10" t="s">
        <v>689</v>
      </c>
      <c r="H10">
        <v>16790</v>
      </c>
      <c r="J10" s="2">
        <f t="shared" si="2"/>
        <v>15446.8</v>
      </c>
      <c r="K10" s="2" t="str">
        <f>VLOOKUP(B10,[2]MW!$B$2:$BA$100,33,0)</f>
        <v>A</v>
      </c>
      <c r="L10" t="s">
        <v>73</v>
      </c>
      <c r="M10">
        <v>23</v>
      </c>
      <c r="N10" t="s">
        <v>229</v>
      </c>
      <c r="O10">
        <v>16</v>
      </c>
      <c r="P10">
        <v>900</v>
      </c>
      <c r="Q10" t="s">
        <v>133</v>
      </c>
      <c r="R10" t="s">
        <v>231</v>
      </c>
      <c r="S10" t="s">
        <v>271</v>
      </c>
      <c r="T10" t="s">
        <v>237</v>
      </c>
      <c r="U10" t="s">
        <v>238</v>
      </c>
      <c r="V10" t="s">
        <v>239</v>
      </c>
      <c r="W10" t="s">
        <v>240</v>
      </c>
      <c r="X10" t="s">
        <v>241</v>
      </c>
      <c r="Y10" t="s">
        <v>272</v>
      </c>
      <c r="AA10" t="s">
        <v>270</v>
      </c>
      <c r="AC10" t="s">
        <v>233</v>
      </c>
      <c r="AD10" t="s">
        <v>234</v>
      </c>
      <c r="AE10" t="s">
        <v>242</v>
      </c>
      <c r="AF10" t="s">
        <v>273</v>
      </c>
      <c r="AG10" t="s">
        <v>236</v>
      </c>
      <c r="AH10" t="s">
        <v>245</v>
      </c>
      <c r="AI10" t="s">
        <v>246</v>
      </c>
    </row>
    <row r="11" spans="1:35" x14ac:dyDescent="0.25">
      <c r="A11">
        <f t="shared" si="0"/>
        <v>10</v>
      </c>
      <c r="B11" s="1" t="s">
        <v>255</v>
      </c>
      <c r="C11" s="6">
        <v>8903287005350</v>
      </c>
      <c r="D11" s="7" t="str">
        <f>VLOOKUP(C11,[1]Sheet1!$A$2:$E$1223,2,0)&amp;", "&amp;VLOOKUP(C11,[1]Sheet1!$A$2:$E$1223,3,0)&amp;", "&amp;VLOOKUP(C11,[1]Sheet1!$A$2:$E$1223,5,0)</f>
        <v>MICRO WAVE OVEN 25SC4, MW, 17990</v>
      </c>
      <c r="E11" t="s">
        <v>226</v>
      </c>
      <c r="F11" t="s">
        <v>268</v>
      </c>
      <c r="G11" t="s">
        <v>690</v>
      </c>
      <c r="H11">
        <v>17990</v>
      </c>
      <c r="J11" s="2">
        <f t="shared" si="2"/>
        <v>16550.8</v>
      </c>
      <c r="K11" s="2" t="str">
        <f>VLOOKUP(B11,[2]MW!$B$2:$BA$100,33,0)</f>
        <v>A+</v>
      </c>
      <c r="L11" t="s">
        <v>73</v>
      </c>
      <c r="M11">
        <v>25</v>
      </c>
      <c r="N11" t="s">
        <v>229</v>
      </c>
      <c r="O11">
        <v>16</v>
      </c>
      <c r="P11">
        <v>900</v>
      </c>
      <c r="Q11" t="s">
        <v>81</v>
      </c>
      <c r="R11" t="s">
        <v>231</v>
      </c>
      <c r="S11" t="s">
        <v>271</v>
      </c>
      <c r="T11" t="s">
        <v>237</v>
      </c>
      <c r="V11" t="s">
        <v>239</v>
      </c>
      <c r="W11" t="s">
        <v>240</v>
      </c>
      <c r="X11" t="s">
        <v>241</v>
      </c>
      <c r="Y11" t="s">
        <v>272</v>
      </c>
      <c r="Z11" t="s">
        <v>269</v>
      </c>
      <c r="AA11" t="s">
        <v>270</v>
      </c>
      <c r="AC11" t="s">
        <v>233</v>
      </c>
      <c r="AD11" t="s">
        <v>234</v>
      </c>
      <c r="AE11" t="s">
        <v>242</v>
      </c>
      <c r="AF11" t="s">
        <v>273</v>
      </c>
      <c r="AG11" t="s">
        <v>236</v>
      </c>
      <c r="AH11" t="s">
        <v>245</v>
      </c>
      <c r="AI11" t="s">
        <v>246</v>
      </c>
    </row>
    <row r="12" spans="1:35" x14ac:dyDescent="0.25">
      <c r="A12">
        <f t="shared" si="0"/>
        <v>11</v>
      </c>
      <c r="B12" s="1" t="s">
        <v>256</v>
      </c>
      <c r="C12" s="6">
        <v>8903287005411</v>
      </c>
      <c r="D12" s="7" t="str">
        <f>VLOOKUP(C12,[1]Sheet1!$A$2:$E$1223,2,0)&amp;", "&amp;VLOOKUP(C12,[1]Sheet1!$A$2:$E$1223,3,0)&amp;", "&amp;VLOOKUP(C12,[1]Sheet1!$A$2:$E$1223,5,0)</f>
        <v>MICRO WAVE OVEN 30FRC2, MW, 20990</v>
      </c>
      <c r="E12" t="s">
        <v>226</v>
      </c>
      <c r="F12" t="s">
        <v>268</v>
      </c>
      <c r="G12" t="s">
        <v>691</v>
      </c>
      <c r="H12">
        <v>20990</v>
      </c>
      <c r="J12" s="2">
        <f t="shared" si="2"/>
        <v>19310.8</v>
      </c>
      <c r="K12" s="2" t="str">
        <f>VLOOKUP(B12,[2]MW!$B$2:$BA$100,33,0)</f>
        <v>A++</v>
      </c>
      <c r="L12" t="s">
        <v>73</v>
      </c>
      <c r="M12">
        <v>30</v>
      </c>
      <c r="N12" t="s">
        <v>229</v>
      </c>
      <c r="O12">
        <v>19</v>
      </c>
      <c r="P12">
        <v>900</v>
      </c>
      <c r="Q12" t="s">
        <v>133</v>
      </c>
      <c r="R12" t="s">
        <v>231</v>
      </c>
      <c r="S12" t="s">
        <v>271</v>
      </c>
      <c r="T12" t="s">
        <v>237</v>
      </c>
      <c r="U12" t="s">
        <v>238</v>
      </c>
      <c r="V12" t="s">
        <v>239</v>
      </c>
      <c r="W12" t="s">
        <v>240</v>
      </c>
      <c r="X12" t="s">
        <v>241</v>
      </c>
      <c r="Y12" t="s">
        <v>272</v>
      </c>
      <c r="AA12" t="s">
        <v>270</v>
      </c>
      <c r="AB12" t="s">
        <v>275</v>
      </c>
      <c r="AC12" t="s">
        <v>233</v>
      </c>
      <c r="AD12" t="s">
        <v>234</v>
      </c>
      <c r="AE12" t="s">
        <v>242</v>
      </c>
      <c r="AF12" t="s">
        <v>273</v>
      </c>
      <c r="AG12" t="s">
        <v>236</v>
      </c>
      <c r="AH12" t="s">
        <v>245</v>
      </c>
      <c r="AI12" t="s">
        <v>246</v>
      </c>
    </row>
    <row r="13" spans="1:35" x14ac:dyDescent="0.25">
      <c r="A13">
        <f t="shared" si="0"/>
        <v>12</v>
      </c>
      <c r="B13" s="1" t="s">
        <v>257</v>
      </c>
      <c r="C13" s="6">
        <v>8903287005367</v>
      </c>
      <c r="D13" s="7" t="str">
        <f>VLOOKUP(C13,[1]Sheet1!$A$2:$E$1223,2,0)&amp;", "&amp;VLOOKUP(C13,[1]Sheet1!$A$2:$E$1223,3,0)&amp;", "&amp;VLOOKUP(C13,[1]Sheet1!$A$2:$E$1223,5,0)</f>
        <v>MICRO WAVE OVEN 20BC4, MW, 14390</v>
      </c>
      <c r="E13" t="s">
        <v>226</v>
      </c>
      <c r="F13" t="s">
        <v>268</v>
      </c>
      <c r="G13" t="s">
        <v>692</v>
      </c>
      <c r="H13">
        <v>14390</v>
      </c>
      <c r="J13" s="2">
        <f t="shared" si="2"/>
        <v>13238.8</v>
      </c>
      <c r="K13" s="2" t="str">
        <f>VLOOKUP(B13,[2]MW!$B$2:$BA$100,33,0)</f>
        <v>B</v>
      </c>
      <c r="L13" t="s">
        <v>73</v>
      </c>
      <c r="M13">
        <v>20</v>
      </c>
      <c r="N13" t="s">
        <v>229</v>
      </c>
      <c r="O13">
        <v>15</v>
      </c>
      <c r="P13">
        <v>800</v>
      </c>
      <c r="Q13" t="s">
        <v>133</v>
      </c>
      <c r="R13" t="s">
        <v>231</v>
      </c>
      <c r="S13" t="s">
        <v>271</v>
      </c>
      <c r="T13" t="s">
        <v>237</v>
      </c>
      <c r="U13" t="s">
        <v>238</v>
      </c>
      <c r="W13" t="s">
        <v>240</v>
      </c>
      <c r="X13" t="s">
        <v>241</v>
      </c>
      <c r="Y13" t="s">
        <v>272</v>
      </c>
      <c r="Z13" t="s">
        <v>269</v>
      </c>
      <c r="AA13" t="s">
        <v>270</v>
      </c>
      <c r="AC13" t="s">
        <v>233</v>
      </c>
      <c r="AD13" t="s">
        <v>234</v>
      </c>
      <c r="AE13" t="s">
        <v>242</v>
      </c>
      <c r="AF13" t="s">
        <v>273</v>
      </c>
      <c r="AG13" t="s">
        <v>236</v>
      </c>
      <c r="AH13" t="s">
        <v>245</v>
      </c>
      <c r="AI13" t="s">
        <v>246</v>
      </c>
    </row>
    <row r="14" spans="1:35" x14ac:dyDescent="0.25">
      <c r="A14">
        <f t="shared" si="0"/>
        <v>13</v>
      </c>
      <c r="B14" s="1" t="s">
        <v>258</v>
      </c>
      <c r="C14" s="6">
        <v>8903287005336</v>
      </c>
      <c r="D14" s="7" t="str">
        <f>VLOOKUP(C14,[1]Sheet1!$A$2:$E$1223,2,0)&amp;", "&amp;VLOOKUP(C14,[1]Sheet1!$A$2:$E$1223,3,0)&amp;", "&amp;VLOOKUP(C14,[1]Sheet1!$A$2:$E$1223,5,0)</f>
        <v>MICRO WAVE OVEN 25BC4, MW, 18690</v>
      </c>
      <c r="E14" t="s">
        <v>226</v>
      </c>
      <c r="F14" t="s">
        <v>268</v>
      </c>
      <c r="G14" t="s">
        <v>693</v>
      </c>
      <c r="H14">
        <v>18690</v>
      </c>
      <c r="J14" s="2">
        <f t="shared" si="2"/>
        <v>17194.8</v>
      </c>
      <c r="K14" s="2" t="str">
        <f>VLOOKUP(B14,[2]MW!$B$2:$BA$100,33,0)</f>
        <v>A+</v>
      </c>
      <c r="L14" t="s">
        <v>73</v>
      </c>
      <c r="M14">
        <v>25</v>
      </c>
      <c r="N14" t="s">
        <v>229</v>
      </c>
      <c r="O14">
        <v>16</v>
      </c>
      <c r="P14">
        <v>900</v>
      </c>
      <c r="Q14" t="s">
        <v>133</v>
      </c>
      <c r="R14" t="s">
        <v>231</v>
      </c>
      <c r="S14" t="s">
        <v>271</v>
      </c>
      <c r="T14" t="s">
        <v>237</v>
      </c>
      <c r="V14" t="s">
        <v>239</v>
      </c>
      <c r="W14" t="s">
        <v>240</v>
      </c>
      <c r="X14" t="s">
        <v>241</v>
      </c>
      <c r="Y14" t="s">
        <v>272</v>
      </c>
      <c r="Z14" t="s">
        <v>269</v>
      </c>
      <c r="AA14" t="s">
        <v>270</v>
      </c>
      <c r="AC14" t="s">
        <v>233</v>
      </c>
      <c r="AD14" t="s">
        <v>234</v>
      </c>
      <c r="AE14" t="s">
        <v>242</v>
      </c>
      <c r="AF14" t="s">
        <v>273</v>
      </c>
      <c r="AG14" t="s">
        <v>236</v>
      </c>
      <c r="AH14" t="s">
        <v>245</v>
      </c>
      <c r="AI14" t="s">
        <v>246</v>
      </c>
    </row>
    <row r="15" spans="1:35" x14ac:dyDescent="0.25">
      <c r="A15">
        <f t="shared" si="0"/>
        <v>14</v>
      </c>
      <c r="B15" s="1" t="s">
        <v>259</v>
      </c>
      <c r="C15" s="6">
        <v>8903287005664</v>
      </c>
      <c r="D15" s="7" t="str">
        <f>VLOOKUP(C15,[1]Sheet1!$A$2:$E$1223,2,0)&amp;", "&amp;VLOOKUP(C15,[1]Sheet1!$A$2:$E$1223,3,0)&amp;", "&amp;VLOOKUP(C15,[1]Sheet1!$A$2:$E$1223,5,0)</f>
        <v>MICRO WAVE OVEN 28BC5, MW, 18490</v>
      </c>
      <c r="E15" t="s">
        <v>226</v>
      </c>
      <c r="F15" t="s">
        <v>268</v>
      </c>
      <c r="G15" t="s">
        <v>694</v>
      </c>
      <c r="H15">
        <v>18490</v>
      </c>
      <c r="J15" s="2">
        <f t="shared" si="2"/>
        <v>17010.8</v>
      </c>
      <c r="K15" s="2" t="str">
        <f>VLOOKUP(B15,[2]MW!$B$2:$BA$100,33,0)</f>
        <v>A+</v>
      </c>
      <c r="L15" t="s">
        <v>73</v>
      </c>
      <c r="M15">
        <v>28</v>
      </c>
      <c r="N15" t="s">
        <v>229</v>
      </c>
      <c r="O15">
        <v>15.8</v>
      </c>
      <c r="P15">
        <v>900</v>
      </c>
      <c r="Q15" t="s">
        <v>133</v>
      </c>
      <c r="R15" t="s">
        <v>231</v>
      </c>
      <c r="S15" t="s">
        <v>271</v>
      </c>
      <c r="T15" t="s">
        <v>237</v>
      </c>
      <c r="U15" t="s">
        <v>238</v>
      </c>
      <c r="V15" t="s">
        <v>239</v>
      </c>
      <c r="W15" t="s">
        <v>240</v>
      </c>
      <c r="X15" t="s">
        <v>241</v>
      </c>
      <c r="Y15" t="s">
        <v>272</v>
      </c>
      <c r="AA15" t="s">
        <v>270</v>
      </c>
      <c r="AC15" t="s">
        <v>233</v>
      </c>
      <c r="AE15" t="s">
        <v>242</v>
      </c>
      <c r="AF15" t="s">
        <v>273</v>
      </c>
      <c r="AG15" t="s">
        <v>236</v>
      </c>
      <c r="AH15" t="s">
        <v>245</v>
      </c>
      <c r="AI15" t="s">
        <v>246</v>
      </c>
    </row>
    <row r="16" spans="1:35" x14ac:dyDescent="0.25">
      <c r="A16">
        <f t="shared" si="0"/>
        <v>15</v>
      </c>
      <c r="B16" s="1" t="s">
        <v>260</v>
      </c>
      <c r="C16" s="6">
        <v>8903287005510</v>
      </c>
      <c r="D16" s="7" t="str">
        <f>VLOOKUP(C16,[1]Sheet1!$A$2:$E$1223,2,0)&amp;", "&amp;VLOOKUP(C16,[1]Sheet1!$A$2:$E$1223,3,0)&amp;", "&amp;VLOOKUP(C16,[1]Sheet1!$A$2:$E$1223,5,0)</f>
        <v>MICRO WAVE OVEN 30BRC3, MW, 20490</v>
      </c>
      <c r="E16" t="s">
        <v>226</v>
      </c>
      <c r="F16" t="s">
        <v>268</v>
      </c>
      <c r="G16" t="s">
        <v>695</v>
      </c>
      <c r="H16">
        <v>20490</v>
      </c>
      <c r="J16" s="2">
        <f t="shared" si="2"/>
        <v>18850.8</v>
      </c>
      <c r="K16" s="2" t="str">
        <f>VLOOKUP(B16,[2]MW!$B$2:$BA$100,33,0)</f>
        <v>A++</v>
      </c>
      <c r="L16" t="s">
        <v>73</v>
      </c>
      <c r="M16">
        <v>30</v>
      </c>
      <c r="N16" t="s">
        <v>247</v>
      </c>
      <c r="O16">
        <v>19</v>
      </c>
      <c r="P16">
        <v>900</v>
      </c>
      <c r="Q16" t="s">
        <v>133</v>
      </c>
      <c r="R16" t="s">
        <v>231</v>
      </c>
      <c r="S16" t="s">
        <v>271</v>
      </c>
      <c r="T16" t="s">
        <v>237</v>
      </c>
      <c r="U16" t="s">
        <v>238</v>
      </c>
      <c r="V16" t="s">
        <v>239</v>
      </c>
      <c r="W16" t="s">
        <v>240</v>
      </c>
      <c r="X16" t="s">
        <v>241</v>
      </c>
      <c r="Y16" t="s">
        <v>272</v>
      </c>
      <c r="Z16" t="s">
        <v>269</v>
      </c>
      <c r="AA16" t="s">
        <v>270</v>
      </c>
      <c r="AB16" t="s">
        <v>275</v>
      </c>
      <c r="AC16" t="s">
        <v>233</v>
      </c>
      <c r="AD16" t="s">
        <v>234</v>
      </c>
      <c r="AE16" t="s">
        <v>242</v>
      </c>
      <c r="AF16" t="s">
        <v>273</v>
      </c>
      <c r="AG16" t="s">
        <v>236</v>
      </c>
      <c r="AH16" t="s">
        <v>245</v>
      </c>
      <c r="AI16" t="s">
        <v>246</v>
      </c>
    </row>
    <row r="17" spans="1:35" x14ac:dyDescent="0.25">
      <c r="A17">
        <f t="shared" si="0"/>
        <v>16</v>
      </c>
      <c r="B17" s="1" t="s">
        <v>261</v>
      </c>
      <c r="C17" s="6">
        <v>8903287005374</v>
      </c>
      <c r="D17" s="7" t="str">
        <f>VLOOKUP(C17,[1]Sheet1!$A$2:$E$1223,2,0)&amp;", "&amp;VLOOKUP(C17,[1]Sheet1!$A$2:$E$1223,3,0)&amp;", "&amp;VLOOKUP(C17,[1]Sheet1!$A$2:$E$1223,5,0)</f>
        <v>MICRO WAVE OVEN 30SC4, MW, 18990</v>
      </c>
      <c r="E17" t="s">
        <v>226</v>
      </c>
      <c r="F17" t="s">
        <v>268</v>
      </c>
      <c r="G17" t="s">
        <v>696</v>
      </c>
      <c r="H17">
        <v>18990</v>
      </c>
      <c r="J17" s="2">
        <f t="shared" si="2"/>
        <v>17470.8</v>
      </c>
      <c r="K17" s="2" t="str">
        <f>VLOOKUP(B17,[2]MW!$B$2:$BA$100,33,0)</f>
        <v>A++</v>
      </c>
      <c r="L17" t="s">
        <v>73</v>
      </c>
      <c r="M17">
        <v>30</v>
      </c>
      <c r="N17" t="s">
        <v>229</v>
      </c>
      <c r="O17">
        <v>18.399999999999999</v>
      </c>
      <c r="P17">
        <v>900</v>
      </c>
      <c r="Q17" t="s">
        <v>81</v>
      </c>
      <c r="R17" t="s">
        <v>231</v>
      </c>
      <c r="S17" t="s">
        <v>271</v>
      </c>
      <c r="T17" t="s">
        <v>237</v>
      </c>
      <c r="V17" t="s">
        <v>239</v>
      </c>
      <c r="W17" t="s">
        <v>240</v>
      </c>
      <c r="Y17" t="s">
        <v>272</v>
      </c>
      <c r="Z17" t="s">
        <v>269</v>
      </c>
      <c r="AA17" t="s">
        <v>270</v>
      </c>
      <c r="AC17" t="s">
        <v>233</v>
      </c>
      <c r="AD17" t="s">
        <v>234</v>
      </c>
      <c r="AE17" t="s">
        <v>242</v>
      </c>
      <c r="AF17" t="s">
        <v>273</v>
      </c>
      <c r="AG17" t="s">
        <v>236</v>
      </c>
      <c r="AH17" t="s">
        <v>245</v>
      </c>
      <c r="AI17" t="s">
        <v>246</v>
      </c>
    </row>
    <row r="18" spans="1:35" x14ac:dyDescent="0.25">
      <c r="A18">
        <f t="shared" si="0"/>
        <v>17</v>
      </c>
      <c r="B18" s="1" t="s">
        <v>262</v>
      </c>
      <c r="C18" s="6">
        <v>8903287005534</v>
      </c>
      <c r="D18" s="7" t="str">
        <f>VLOOKUP(C18,[1]Sheet1!$A$2:$E$1223,2,0)&amp;", "&amp;VLOOKUP(C18,[1]Sheet1!$A$2:$E$1223,3,0)&amp;", "&amp;VLOOKUP(C18,[1]Sheet1!$A$2:$E$1223,5,0)</f>
        <v>MICRO WAVE OVEN 20BC5, MW, 16190</v>
      </c>
      <c r="E18" t="s">
        <v>226</v>
      </c>
      <c r="F18" t="s">
        <v>268</v>
      </c>
      <c r="G18" t="s">
        <v>697</v>
      </c>
      <c r="H18">
        <v>16190</v>
      </c>
      <c r="J18" s="2">
        <f t="shared" si="2"/>
        <v>14894.8</v>
      </c>
      <c r="K18" s="2" t="str">
        <f>VLOOKUP(B18,[2]MW!$B$2:$BA$100,33,0)</f>
        <v>A</v>
      </c>
      <c r="L18" t="s">
        <v>73</v>
      </c>
      <c r="M18">
        <v>20</v>
      </c>
      <c r="N18" t="s">
        <v>229</v>
      </c>
      <c r="O18">
        <v>15</v>
      </c>
      <c r="P18">
        <v>800</v>
      </c>
      <c r="Q18" t="s">
        <v>133</v>
      </c>
      <c r="R18" t="s">
        <v>231</v>
      </c>
      <c r="S18" t="s">
        <v>276</v>
      </c>
      <c r="T18" t="s">
        <v>237</v>
      </c>
      <c r="U18" t="s">
        <v>238</v>
      </c>
      <c r="V18" t="s">
        <v>239</v>
      </c>
      <c r="W18" t="s">
        <v>240</v>
      </c>
      <c r="X18" t="s">
        <v>241</v>
      </c>
      <c r="Y18" t="s">
        <v>272</v>
      </c>
      <c r="Z18" t="s">
        <v>269</v>
      </c>
      <c r="AC18" t="s">
        <v>233</v>
      </c>
      <c r="AD18" t="s">
        <v>234</v>
      </c>
      <c r="AE18" t="s">
        <v>242</v>
      </c>
      <c r="AF18" t="s">
        <v>273</v>
      </c>
      <c r="AG18" t="s">
        <v>236</v>
      </c>
      <c r="AH18" t="s">
        <v>245</v>
      </c>
      <c r="AI18" t="s">
        <v>246</v>
      </c>
    </row>
    <row r="19" spans="1:35" x14ac:dyDescent="0.25">
      <c r="A19">
        <f t="shared" si="0"/>
        <v>18</v>
      </c>
      <c r="B19" s="1" t="s">
        <v>263</v>
      </c>
      <c r="C19" s="6">
        <v>8903287005541</v>
      </c>
      <c r="D19" s="7" t="str">
        <f>VLOOKUP(C19,[1]Sheet1!$A$2:$E$1223,2,0)&amp;", "&amp;VLOOKUP(C19,[1]Sheet1!$A$2:$E$1223,3,0)&amp;", "&amp;VLOOKUP(C19,[1]Sheet1!$A$2:$E$1223,5,0)</f>
        <v>MICRO WAVE OVEN 23BC5, MW, 16990</v>
      </c>
      <c r="E19" t="s">
        <v>226</v>
      </c>
      <c r="F19" t="s">
        <v>268</v>
      </c>
      <c r="G19" t="s">
        <v>698</v>
      </c>
      <c r="H19">
        <v>16990</v>
      </c>
      <c r="J19" s="2">
        <f t="shared" si="2"/>
        <v>15630.8</v>
      </c>
      <c r="K19" s="2" t="str">
        <f>VLOOKUP(B19,[2]MW!$B$2:$BA$100,33,0)</f>
        <v>A+</v>
      </c>
      <c r="L19" t="s">
        <v>73</v>
      </c>
      <c r="M19">
        <v>23</v>
      </c>
      <c r="N19" t="s">
        <v>229</v>
      </c>
      <c r="O19">
        <v>14.1</v>
      </c>
      <c r="P19">
        <v>900</v>
      </c>
      <c r="Q19" t="s">
        <v>133</v>
      </c>
      <c r="R19" t="s">
        <v>231</v>
      </c>
      <c r="S19" t="s">
        <v>271</v>
      </c>
      <c r="T19" t="s">
        <v>237</v>
      </c>
      <c r="U19" t="s">
        <v>238</v>
      </c>
      <c r="V19" t="s">
        <v>239</v>
      </c>
      <c r="W19" t="s">
        <v>240</v>
      </c>
      <c r="X19" t="s">
        <v>241</v>
      </c>
      <c r="Y19" t="s">
        <v>272</v>
      </c>
      <c r="Z19" t="s">
        <v>269</v>
      </c>
      <c r="AA19" t="s">
        <v>270</v>
      </c>
      <c r="AC19" t="s">
        <v>233</v>
      </c>
      <c r="AD19" t="s">
        <v>234</v>
      </c>
      <c r="AE19" t="s">
        <v>242</v>
      </c>
      <c r="AF19" t="s">
        <v>273</v>
      </c>
      <c r="AG19" t="s">
        <v>236</v>
      </c>
      <c r="AH19" t="s">
        <v>245</v>
      </c>
      <c r="AI19" t="s">
        <v>246</v>
      </c>
    </row>
    <row r="20" spans="1:35" x14ac:dyDescent="0.25">
      <c r="A20">
        <f t="shared" si="0"/>
        <v>19</v>
      </c>
      <c r="B20" s="1" t="s">
        <v>264</v>
      </c>
      <c r="C20" s="6">
        <v>8903287005572</v>
      </c>
      <c r="D20" s="7" t="str">
        <f>VLOOKUP(C20,[1]Sheet1!$A$2:$E$1223,2,0)&amp;", "&amp;VLOOKUP(C20,[1]Sheet1!$A$2:$E$1223,3,0)&amp;", "&amp;VLOOKUP(C20,[1]Sheet1!$A$2:$E$1223,5,0)</f>
        <v>MICRO WAVE OVEN 30BC5, MW, 19390</v>
      </c>
      <c r="E20" t="s">
        <v>226</v>
      </c>
      <c r="F20" t="s">
        <v>268</v>
      </c>
      <c r="G20" t="s">
        <v>699</v>
      </c>
      <c r="H20">
        <v>19390</v>
      </c>
      <c r="J20" s="2">
        <f t="shared" si="2"/>
        <v>17838.8</v>
      </c>
      <c r="K20" s="2" t="str">
        <f>VLOOKUP(B20,[2]MW!$B$2:$BA$100,33,0)</f>
        <v>A++</v>
      </c>
      <c r="L20" t="s">
        <v>73</v>
      </c>
      <c r="M20">
        <v>30</v>
      </c>
      <c r="N20" t="s">
        <v>229</v>
      </c>
      <c r="O20">
        <v>18.399999999999999</v>
      </c>
      <c r="P20">
        <v>900</v>
      </c>
      <c r="Q20" t="s">
        <v>133</v>
      </c>
      <c r="R20" t="s">
        <v>231</v>
      </c>
      <c r="S20" t="s">
        <v>276</v>
      </c>
      <c r="T20" t="s">
        <v>237</v>
      </c>
      <c r="U20" t="s">
        <v>238</v>
      </c>
      <c r="V20" t="s">
        <v>239</v>
      </c>
      <c r="W20" t="s">
        <v>240</v>
      </c>
      <c r="X20" t="s">
        <v>241</v>
      </c>
      <c r="Y20" t="s">
        <v>272</v>
      </c>
      <c r="Z20" t="s">
        <v>269</v>
      </c>
      <c r="AA20" t="s">
        <v>270</v>
      </c>
      <c r="AC20" t="s">
        <v>233</v>
      </c>
      <c r="AD20" t="s">
        <v>234</v>
      </c>
      <c r="AE20" t="s">
        <v>242</v>
      </c>
      <c r="AF20" t="s">
        <v>273</v>
      </c>
      <c r="AG20" t="s">
        <v>236</v>
      </c>
      <c r="AH20" t="s">
        <v>245</v>
      </c>
      <c r="AI20" t="s">
        <v>246</v>
      </c>
    </row>
    <row r="21" spans="1:35" x14ac:dyDescent="0.25">
      <c r="A21">
        <f t="shared" si="0"/>
        <v>20</v>
      </c>
      <c r="B21" s="1" t="s">
        <v>265</v>
      </c>
      <c r="C21" s="6">
        <v>8903287005565</v>
      </c>
      <c r="D21" s="7" t="str">
        <f>VLOOKUP(C21,[1]Sheet1!$A$2:$E$1223,2,0)&amp;", "&amp;VLOOKUP(C21,[1]Sheet1!$A$2:$E$1223,3,0)&amp;", "&amp;VLOOKUP(C21,[1]Sheet1!$A$2:$E$1223,5,0)</f>
        <v>MICRO WAVE OVEN 25DGBC2, MW, 18590</v>
      </c>
      <c r="E21" t="s">
        <v>226</v>
      </c>
      <c r="F21" t="s">
        <v>268</v>
      </c>
      <c r="G21" t="s">
        <v>700</v>
      </c>
      <c r="H21">
        <v>18590</v>
      </c>
      <c r="J21" s="2">
        <f t="shared" si="2"/>
        <v>17102.8</v>
      </c>
      <c r="K21" s="2" t="str">
        <f>VLOOKUP(B21,[2]MW!$B$2:$BA$100,33,0)</f>
        <v>A+</v>
      </c>
      <c r="L21" t="s">
        <v>73</v>
      </c>
      <c r="M21">
        <v>25</v>
      </c>
      <c r="N21" t="s">
        <v>229</v>
      </c>
      <c r="O21">
        <v>16</v>
      </c>
      <c r="P21">
        <v>900</v>
      </c>
      <c r="Q21" t="s">
        <v>133</v>
      </c>
      <c r="R21" t="s">
        <v>231</v>
      </c>
      <c r="S21" t="s">
        <v>276</v>
      </c>
      <c r="W21" t="s">
        <v>240</v>
      </c>
      <c r="Y21" t="s">
        <v>272</v>
      </c>
      <c r="AC21" t="s">
        <v>233</v>
      </c>
      <c r="AE21" t="s">
        <v>242</v>
      </c>
      <c r="AF21" t="s">
        <v>273</v>
      </c>
      <c r="AG21" t="s">
        <v>236</v>
      </c>
      <c r="AH21" t="s">
        <v>245</v>
      </c>
      <c r="AI21" t="s">
        <v>246</v>
      </c>
    </row>
    <row r="22" spans="1:35" x14ac:dyDescent="0.25">
      <c r="A22">
        <f t="shared" si="0"/>
        <v>21</v>
      </c>
      <c r="B22" s="1" t="s">
        <v>266</v>
      </c>
      <c r="C22" s="7" t="e">
        <f>VLOOKUP(B22,[1]Sheet1!$A$2:$E$1223,2,0)&amp;", "&amp;VLOOKUP(B22,[1]Sheet1!$A$2:$E$1223,3,0)&amp;", "&amp;VLOOKUP(B22,[1]Sheet1!$A$2:$E$1223,5,0)</f>
        <v>#N/A</v>
      </c>
      <c r="D22" s="7" t="e">
        <f>VLOOKUP(C22,[1]Sheet1!$A$2:$E$1223,2,0)&amp;", "&amp;VLOOKUP(C22,[1]Sheet1!$A$2:$E$1223,3,0)&amp;", "&amp;VLOOKUP(C22,[1]Sheet1!$A$2:$E$1223,5,0)</f>
        <v>#N/A</v>
      </c>
      <c r="E22" t="s">
        <v>226</v>
      </c>
      <c r="F22" t="s">
        <v>268</v>
      </c>
      <c r="G22" t="s">
        <v>701</v>
      </c>
      <c r="H22">
        <v>14790</v>
      </c>
      <c r="J22" s="2">
        <f t="shared" si="2"/>
        <v>13606.8</v>
      </c>
      <c r="K22" s="2" t="str">
        <f>VLOOKUP(B22,[2]MW!$B$2:$BA$100,33,0)</f>
        <v>B</v>
      </c>
      <c r="L22" t="s">
        <v>73</v>
      </c>
      <c r="M22">
        <v>21</v>
      </c>
      <c r="N22" t="s">
        <v>247</v>
      </c>
      <c r="O22">
        <v>13.1</v>
      </c>
      <c r="P22">
        <v>800</v>
      </c>
      <c r="Q22" t="s">
        <v>81</v>
      </c>
      <c r="R22" t="s">
        <v>231</v>
      </c>
      <c r="S22" t="s">
        <v>271</v>
      </c>
      <c r="T22" t="s">
        <v>237</v>
      </c>
      <c r="V22" t="s">
        <v>239</v>
      </c>
      <c r="W22" t="s">
        <v>240</v>
      </c>
      <c r="X22" t="s">
        <v>241</v>
      </c>
      <c r="Y22" t="s">
        <v>272</v>
      </c>
      <c r="Z22" t="s">
        <v>269</v>
      </c>
      <c r="AA22" t="s">
        <v>270</v>
      </c>
      <c r="AC22" t="s">
        <v>233</v>
      </c>
      <c r="AD22" t="s">
        <v>234</v>
      </c>
      <c r="AE22" t="s">
        <v>242</v>
      </c>
      <c r="AF22" t="s">
        <v>273</v>
      </c>
      <c r="AG22" t="s">
        <v>236</v>
      </c>
      <c r="AH22" t="s">
        <v>245</v>
      </c>
      <c r="AI22" t="s">
        <v>246</v>
      </c>
    </row>
    <row r="23" spans="1:35" x14ac:dyDescent="0.25">
      <c r="A23">
        <f t="shared" si="0"/>
        <v>22</v>
      </c>
      <c r="B23" s="1" t="s">
        <v>267</v>
      </c>
      <c r="C23" s="6">
        <v>8903287005077</v>
      </c>
      <c r="D23" s="7" t="str">
        <f>VLOOKUP(C23,[1]Sheet1!$A$2:$E$1223,2,0)&amp;", "&amp;VLOOKUP(C23,[1]Sheet1!$A$2:$E$1223,3,0)&amp;", "&amp;VLOOKUP(C23,[1]Sheet1!$A$2:$E$1223,5,0)</f>
        <v>MICROWAVE OVEN 20SC2, MW, 14490</v>
      </c>
      <c r="E23" t="s">
        <v>226</v>
      </c>
      <c r="F23" t="s">
        <v>268</v>
      </c>
      <c r="G23" t="s">
        <v>702</v>
      </c>
      <c r="H23">
        <v>14490</v>
      </c>
      <c r="J23" s="2">
        <f t="shared" si="2"/>
        <v>13330.8</v>
      </c>
      <c r="K23" s="2" t="str">
        <f>VLOOKUP(B23,[2]MW!$B$2:$BA$100,33,0)</f>
        <v>B</v>
      </c>
      <c r="L23" t="s">
        <v>73</v>
      </c>
      <c r="M23">
        <v>20</v>
      </c>
      <c r="N23" t="s">
        <v>229</v>
      </c>
      <c r="O23">
        <v>15</v>
      </c>
      <c r="P23">
        <v>800</v>
      </c>
      <c r="Q23" t="s">
        <v>81</v>
      </c>
      <c r="R23" t="s">
        <v>231</v>
      </c>
      <c r="S23" t="s">
        <v>271</v>
      </c>
      <c r="W23" t="s">
        <v>240</v>
      </c>
      <c r="Y23" t="s">
        <v>272</v>
      </c>
      <c r="AC23" t="s">
        <v>233</v>
      </c>
      <c r="AD23" t="s">
        <v>234</v>
      </c>
      <c r="AE23" t="s">
        <v>242</v>
      </c>
      <c r="AF23" t="s">
        <v>273</v>
      </c>
      <c r="AG23" t="s">
        <v>236</v>
      </c>
      <c r="AH23" t="s">
        <v>245</v>
      </c>
      <c r="AI23" t="s">
        <v>246</v>
      </c>
    </row>
  </sheetData>
  <autoFilter ref="A1:AI23" xr:uid="{2C6A23FA-7284-4115-ACF4-DFA83A579E46}"/>
  <hyperlinks>
    <hyperlink ref="B2" r:id="rId1" display="https://www.ifbappliances.com/20pm-mec2b" xr:uid="{8D7513A0-BD93-4CF0-BD04-B30843CEA93C}"/>
    <hyperlink ref="B3" r:id="rId2" display="https://www.ifbappliances.com/25pm2s-25ltrs-l-solo" xr:uid="{B9D35E51-3AA8-4D66-8B3D-A2033164D936}"/>
    <hyperlink ref="B4" r:id="rId3" display="https://www.ifbappliances.com/24pm2b" xr:uid="{72E90629-D875-4C97-BD84-3B7367A1E843}"/>
    <hyperlink ref="B5" r:id="rId4" display="https://www.ifbappliances.com/20pm-mec2" xr:uid="{23F9D47D-874C-4907-B9CF-0F8B06814249}"/>
    <hyperlink ref="B6" r:id="rId5" display="https://www.ifbappliances.com/20pg4s" xr:uid="{457D712E-9D2D-4EED-A13F-D2219EBEB3E0}"/>
    <hyperlink ref="B7" r:id="rId6" display="https://www.ifbappliances.com/23sc3" xr:uid="{89C3A37E-D97A-4057-B516-9EA73EF570B9}"/>
    <hyperlink ref="B8" r:id="rId7" display="https://www.ifbappliances.com/25bc3" xr:uid="{5CE6D81F-828B-4363-BC3A-45751647B082}"/>
    <hyperlink ref="B9" r:id="rId8" display="https://www.ifbappliances.com/30brc2" xr:uid="{A040EC14-204B-48CA-9015-4791669AAC8E}"/>
    <hyperlink ref="B10" r:id="rId9" display="https://www.ifbappliances.com/23bc4" xr:uid="{39894B82-35D5-43E1-8A35-5ECEC7063866}"/>
    <hyperlink ref="B11" r:id="rId10" display="https://www.ifbappliances.com/25sc4-163" xr:uid="{E0356034-0377-4AF0-B010-4414060513EA}"/>
    <hyperlink ref="B12" r:id="rId11" display="https://www.ifbappliances.com/30frc2" xr:uid="{669F33A2-61FC-4D24-A2C8-F309A52A6154}"/>
    <hyperlink ref="B13" r:id="rId12" display="https://www.ifbappliances.com/20bc4" xr:uid="{A4D7BE94-185B-4733-B2E8-6ABC85437D0C}"/>
    <hyperlink ref="B14" r:id="rId13" display="https://www.ifbappliances.com/25bc4" xr:uid="{95A9BB6F-32A3-4C34-A7EC-130D9B531836}"/>
    <hyperlink ref="B15" r:id="rId14" display="https://www.ifbappliances.com/28bc5" xr:uid="{43729EAE-C0E5-4E6F-BDC9-8FCA0CD8FEDD}"/>
    <hyperlink ref="B16" r:id="rId15" display="https://www.ifbappliances.com/30brc3" xr:uid="{C3D96667-2013-4546-8466-F1729F6F13FB}"/>
    <hyperlink ref="B17" r:id="rId16" display="https://www.ifbappliances.com/30sc4" xr:uid="{6A2F91FE-8FDD-45E2-8F47-2232BD58F17B}"/>
    <hyperlink ref="B18" r:id="rId17" display="https://www.ifbappliances.com/20bc5" xr:uid="{6508B46A-7C42-46EC-B3B2-1B685B4E9F6E}"/>
    <hyperlink ref="B19" r:id="rId18" display="https://www.ifbappliances.com/23bc5" xr:uid="{F3963030-7A7A-4B85-880D-35AE7D251600}"/>
    <hyperlink ref="B20" r:id="rId19" display="https://www.ifbappliances.com/30bc5-30-ltrs-l-convection" xr:uid="{42351153-3C51-46F0-BAF2-2580B7192CFD}"/>
    <hyperlink ref="B21" r:id="rId20" display="https://www.ifbappliances.com/25dgbc2-25-ltrs" xr:uid="{A0BA31B9-E84B-42F6-A131-8198575B979F}"/>
    <hyperlink ref="B22" r:id="rId21" display="https://www.ifbappliances.com/21sc5" xr:uid="{FE49A98B-2093-48D3-8137-C155A783384A}"/>
    <hyperlink ref="B23" r:id="rId22" display="https://www.ifbappliances.com/20sc2" xr:uid="{30E1F817-8049-4190-819C-FDDF62AB398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F568-A2F2-4C60-AA2E-A452DB606EB0}">
  <sheetPr codeName="Sheet5"/>
  <dimension ref="A1:AO5"/>
  <sheetViews>
    <sheetView workbookViewId="0">
      <selection activeCell="A2" sqref="A2:L5"/>
    </sheetView>
  </sheetViews>
  <sheetFormatPr defaultRowHeight="15" x14ac:dyDescent="0.25"/>
  <cols>
    <col min="2" max="2" width="16.5703125" bestFit="1" customWidth="1"/>
    <col min="3" max="3" width="16.5703125" customWidth="1"/>
    <col min="4" max="4" width="34.85546875" customWidth="1"/>
    <col min="6" max="6" width="8.28515625" bestFit="1" customWidth="1"/>
    <col min="7" max="7" width="45.85546875" bestFit="1" customWidth="1"/>
    <col min="8" max="8" width="6" bestFit="1" customWidth="1"/>
    <col min="9" max="9" width="6" customWidth="1"/>
    <col min="10" max="10" width="11.42578125" bestFit="1" customWidth="1"/>
    <col min="11" max="11" width="11.42578125" customWidth="1"/>
    <col min="12" max="12" width="6.140625" bestFit="1" customWidth="1"/>
    <col min="13" max="13" width="13.85546875" bestFit="1" customWidth="1"/>
    <col min="14" max="14" width="12.85546875" bestFit="1" customWidth="1"/>
    <col min="15" max="15" width="7.42578125" bestFit="1" customWidth="1"/>
    <col min="16" max="16" width="20.140625" bestFit="1" customWidth="1"/>
    <col min="17" max="17" width="19.42578125" bestFit="1" customWidth="1"/>
    <col min="18" max="18" width="11.5703125" bestFit="1" customWidth="1"/>
    <col min="19" max="19" width="7" bestFit="1" customWidth="1"/>
    <col min="20" max="20" width="12.140625" bestFit="1" customWidth="1"/>
    <col min="21" max="21" width="15.140625" bestFit="1" customWidth="1"/>
    <col min="22" max="22" width="16.28515625" bestFit="1" customWidth="1"/>
    <col min="23" max="23" width="17.85546875" bestFit="1" customWidth="1"/>
    <col min="24" max="24" width="24.42578125" bestFit="1" customWidth="1"/>
    <col min="25" max="25" width="22" bestFit="1" customWidth="1"/>
    <col min="26" max="26" width="12.5703125" bestFit="1" customWidth="1"/>
    <col min="27" max="27" width="12.140625" bestFit="1" customWidth="1"/>
    <col min="28" max="28" width="9" bestFit="1" customWidth="1"/>
    <col min="29" max="29" width="13.85546875" bestFit="1" customWidth="1"/>
    <col min="30" max="30" width="8.5703125" bestFit="1" customWidth="1"/>
    <col min="31" max="31" width="11" bestFit="1" customWidth="1"/>
    <col min="32" max="32" width="9.5703125" bestFit="1" customWidth="1"/>
    <col min="33" max="33" width="11.85546875" bestFit="1" customWidth="1"/>
    <col min="34" max="34" width="12.5703125" bestFit="1" customWidth="1"/>
    <col min="35" max="35" width="12.140625" bestFit="1" customWidth="1"/>
    <col min="36" max="36" width="11.85546875" bestFit="1" customWidth="1"/>
    <col min="37" max="37" width="8.42578125" bestFit="1" customWidth="1"/>
    <col min="38" max="38" width="10" bestFit="1" customWidth="1"/>
    <col min="39" max="39" width="14.140625" bestFit="1" customWidth="1"/>
    <col min="40" max="40" width="17.85546875" bestFit="1" customWidth="1"/>
    <col min="41" max="41" width="16.28515625" bestFit="1" customWidth="1"/>
  </cols>
  <sheetData>
    <row r="1" spans="1:41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/>
      <c r="J1" s="4" t="s">
        <v>70</v>
      </c>
      <c r="K1" s="4" t="s">
        <v>840</v>
      </c>
      <c r="L1" s="4" t="s">
        <v>72</v>
      </c>
      <c r="M1" s="4" t="s">
        <v>279</v>
      </c>
      <c r="N1" s="4" t="s">
        <v>228</v>
      </c>
      <c r="O1" s="4" t="s">
        <v>76</v>
      </c>
      <c r="P1" s="4" t="s">
        <v>79</v>
      </c>
      <c r="Q1" s="4" t="s">
        <v>78</v>
      </c>
      <c r="R1" s="4" t="s">
        <v>280</v>
      </c>
      <c r="S1" s="4" t="s">
        <v>202</v>
      </c>
      <c r="T1" s="4" t="s">
        <v>84</v>
      </c>
      <c r="U1" s="4" t="s">
        <v>85</v>
      </c>
      <c r="V1" s="4" t="s">
        <v>86</v>
      </c>
      <c r="W1" s="4" t="s">
        <v>87</v>
      </c>
      <c r="X1" s="4" t="s">
        <v>88</v>
      </c>
      <c r="Y1" s="4" t="s">
        <v>89</v>
      </c>
      <c r="Z1" s="4" t="s">
        <v>90</v>
      </c>
      <c r="AA1" s="4" t="s">
        <v>91</v>
      </c>
      <c r="AB1" s="4" t="s">
        <v>290</v>
      </c>
      <c r="AC1" s="4" t="s">
        <v>291</v>
      </c>
      <c r="AD1" s="4" t="s">
        <v>294</v>
      </c>
      <c r="AE1" s="4" t="s">
        <v>295</v>
      </c>
      <c r="AF1" s="4" t="s">
        <v>296</v>
      </c>
      <c r="AG1" s="4" t="s">
        <v>297</v>
      </c>
      <c r="AH1" s="4" t="s">
        <v>298</v>
      </c>
      <c r="AI1" s="4" t="s">
        <v>299</v>
      </c>
      <c r="AJ1" s="4" t="s">
        <v>300</v>
      </c>
      <c r="AK1" s="4" t="s">
        <v>841</v>
      </c>
      <c r="AL1" s="4" t="s">
        <v>92</v>
      </c>
      <c r="AM1" s="4" t="s">
        <v>93</v>
      </c>
      <c r="AN1" s="4" t="s">
        <v>94</v>
      </c>
      <c r="AO1" s="4" t="s">
        <v>95</v>
      </c>
    </row>
    <row r="2" spans="1:41" x14ac:dyDescent="0.25">
      <c r="A2">
        <f>ROW(B1)</f>
        <v>1</v>
      </c>
      <c r="B2" s="1" t="s">
        <v>277</v>
      </c>
      <c r="C2" s="6">
        <v>8903287040290</v>
      </c>
      <c r="D2" s="7" t="str">
        <f>VLOOKUP(C2,[1]Sheet1!$A$2:$E$1223,2,0)&amp;", "&amp;VLOOKUP(C2,[1]Sheet1!$A$2:$E$1223,3,0)&amp;", "&amp;VLOOKUP(C2,[1]Sheet1!$A$2:$E$1223,5,0)</f>
        <v>NEPTUNE VX16, DW, 62590</v>
      </c>
      <c r="E2" t="s">
        <v>278</v>
      </c>
      <c r="F2" t="s">
        <v>278</v>
      </c>
      <c r="G2" t="s">
        <v>703</v>
      </c>
      <c r="H2">
        <v>62590</v>
      </c>
      <c r="J2" s="2">
        <f>H2-(H2*0.04)</f>
        <v>60086.400000000001</v>
      </c>
      <c r="K2" s="2" t="str">
        <f>VLOOKUP(B2,[2]DW!$B$2:$BA$100,39,0)</f>
        <v>A++</v>
      </c>
      <c r="L2" t="s">
        <v>73</v>
      </c>
      <c r="M2">
        <v>16</v>
      </c>
      <c r="N2" t="s">
        <v>229</v>
      </c>
      <c r="O2">
        <v>49.5</v>
      </c>
      <c r="P2">
        <v>0.86</v>
      </c>
      <c r="Q2">
        <v>9</v>
      </c>
      <c r="R2">
        <v>49</v>
      </c>
      <c r="S2" t="s">
        <v>281</v>
      </c>
      <c r="T2" t="s">
        <v>282</v>
      </c>
      <c r="U2" t="s">
        <v>283</v>
      </c>
      <c r="V2" t="s">
        <v>284</v>
      </c>
      <c r="W2" t="s">
        <v>285</v>
      </c>
      <c r="X2" t="s">
        <v>286</v>
      </c>
      <c r="Y2" t="s">
        <v>287</v>
      </c>
      <c r="Z2" t="s">
        <v>288</v>
      </c>
      <c r="AA2" t="s">
        <v>289</v>
      </c>
      <c r="AB2" t="s">
        <v>292</v>
      </c>
      <c r="AC2" t="s">
        <v>293</v>
      </c>
      <c r="AD2" t="s">
        <v>116</v>
      </c>
      <c r="AE2" t="s">
        <v>301</v>
      </c>
      <c r="AF2" t="s">
        <v>302</v>
      </c>
      <c r="AG2" t="s">
        <v>303</v>
      </c>
      <c r="AH2" t="s">
        <v>304</v>
      </c>
      <c r="AI2" t="s">
        <v>305</v>
      </c>
      <c r="AJ2" t="s">
        <v>306</v>
      </c>
      <c r="AL2" t="s">
        <v>307</v>
      </c>
      <c r="AM2" t="s">
        <v>308</v>
      </c>
      <c r="AN2" t="s">
        <v>309</v>
      </c>
      <c r="AO2" t="s">
        <v>310</v>
      </c>
    </row>
    <row r="3" spans="1:41" x14ac:dyDescent="0.25">
      <c r="A3">
        <f t="shared" ref="A3:A5" si="0">ROW(B2)</f>
        <v>2</v>
      </c>
      <c r="B3" s="1" t="s">
        <v>311</v>
      </c>
      <c r="C3" s="6">
        <v>8903287002908</v>
      </c>
      <c r="D3" s="7" t="str">
        <f>VLOOKUP(C3,[1]Sheet1!$A$2:$E$1223,2,0)&amp;", "&amp;VLOOKUP(C3,[1]Sheet1!$A$2:$E$1223,3,0)&amp;", "&amp;VLOOKUP(C3,[1]Sheet1!$A$2:$E$1223,5,0)</f>
        <v>NEPTUNE VX2 PLUS, DW, 62590</v>
      </c>
      <c r="E3" t="s">
        <v>278</v>
      </c>
      <c r="F3" t="s">
        <v>278</v>
      </c>
      <c r="G3" t="s">
        <v>704</v>
      </c>
      <c r="H3">
        <v>62590</v>
      </c>
      <c r="J3" s="2">
        <f t="shared" ref="J3:J4" si="1">H3-(H3*0.04)</f>
        <v>60086.400000000001</v>
      </c>
      <c r="K3" s="2" t="str">
        <f>VLOOKUP(B3,[2]DW!$B$2:$BA$100,39,0)</f>
        <v>A++</v>
      </c>
      <c r="L3" t="s">
        <v>73</v>
      </c>
      <c r="M3">
        <v>16</v>
      </c>
      <c r="N3" t="s">
        <v>229</v>
      </c>
      <c r="O3">
        <v>52.9</v>
      </c>
      <c r="P3">
        <v>0.873</v>
      </c>
      <c r="Q3">
        <v>9</v>
      </c>
      <c r="R3">
        <v>49</v>
      </c>
      <c r="S3" t="s">
        <v>132</v>
      </c>
      <c r="T3" t="s">
        <v>282</v>
      </c>
      <c r="U3" t="s">
        <v>283</v>
      </c>
      <c r="V3" t="s">
        <v>284</v>
      </c>
      <c r="W3" t="s">
        <v>285</v>
      </c>
      <c r="X3" t="s">
        <v>286</v>
      </c>
      <c r="Y3" t="s">
        <v>287</v>
      </c>
      <c r="Z3" t="s">
        <v>288</v>
      </c>
      <c r="AB3" t="s">
        <v>292</v>
      </c>
      <c r="AC3" t="s">
        <v>293</v>
      </c>
      <c r="AD3" t="s">
        <v>116</v>
      </c>
      <c r="AE3" t="s">
        <v>301</v>
      </c>
      <c r="AF3" t="s">
        <v>302</v>
      </c>
      <c r="AG3" t="s">
        <v>303</v>
      </c>
      <c r="AH3" t="s">
        <v>304</v>
      </c>
      <c r="AI3" t="s">
        <v>305</v>
      </c>
      <c r="AJ3" t="s">
        <v>306</v>
      </c>
      <c r="AL3" t="s">
        <v>307</v>
      </c>
      <c r="AM3" t="s">
        <v>308</v>
      </c>
      <c r="AN3" t="s">
        <v>309</v>
      </c>
      <c r="AO3" t="s">
        <v>310</v>
      </c>
    </row>
    <row r="4" spans="1:41" x14ac:dyDescent="0.25">
      <c r="A4">
        <f t="shared" si="0"/>
        <v>3</v>
      </c>
      <c r="B4" s="1" t="s">
        <v>312</v>
      </c>
      <c r="C4" s="6">
        <v>8903287002915</v>
      </c>
      <c r="D4" s="7" t="str">
        <f>VLOOKUP(C4,[1]Sheet1!$A$2:$E$1223,2,0)&amp;", "&amp;VLOOKUP(C4,[1]Sheet1!$A$2:$E$1223,3,0)&amp;", "&amp;VLOOKUP(C4,[1]Sheet1!$A$2:$E$1223,5,0)</f>
        <v>NEPTUNE SX2, DW, 65490</v>
      </c>
      <c r="E4" t="s">
        <v>278</v>
      </c>
      <c r="F4" t="s">
        <v>278</v>
      </c>
      <c r="G4" t="s">
        <v>705</v>
      </c>
      <c r="H4">
        <v>65490</v>
      </c>
      <c r="J4" s="2">
        <f t="shared" si="1"/>
        <v>62870.400000000001</v>
      </c>
      <c r="K4" s="2" t="str">
        <f>VLOOKUP(B4,[2]DW!$B$2:$BA$100,39,0)</f>
        <v>A++</v>
      </c>
      <c r="L4" t="s">
        <v>73</v>
      </c>
      <c r="M4">
        <v>16</v>
      </c>
      <c r="N4" t="s">
        <v>229</v>
      </c>
      <c r="O4">
        <v>49.9</v>
      </c>
      <c r="P4">
        <v>0.873</v>
      </c>
      <c r="Q4">
        <v>9</v>
      </c>
      <c r="R4">
        <v>45</v>
      </c>
      <c r="S4" t="s">
        <v>132</v>
      </c>
      <c r="T4" t="s">
        <v>282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B4" t="s">
        <v>292</v>
      </c>
      <c r="AC4" t="s">
        <v>293</v>
      </c>
      <c r="AD4" t="s">
        <v>116</v>
      </c>
      <c r="AF4" t="s">
        <v>302</v>
      </c>
      <c r="AH4" t="s">
        <v>304</v>
      </c>
      <c r="AI4" t="s">
        <v>305</v>
      </c>
      <c r="AJ4" t="s">
        <v>306</v>
      </c>
      <c r="AK4" t="s">
        <v>314</v>
      </c>
      <c r="AL4" t="s">
        <v>307</v>
      </c>
      <c r="AM4" t="s">
        <v>308</v>
      </c>
      <c r="AN4" t="s">
        <v>309</v>
      </c>
      <c r="AO4" t="s">
        <v>310</v>
      </c>
    </row>
    <row r="5" spans="1:41" x14ac:dyDescent="0.25">
      <c r="A5">
        <f t="shared" si="0"/>
        <v>4</v>
      </c>
      <c r="B5" s="1" t="s">
        <v>313</v>
      </c>
      <c r="C5" s="6">
        <v>8903287002939</v>
      </c>
      <c r="D5" s="7" t="str">
        <f>VLOOKUP(C5,[1]Sheet1!$A$2:$E$1223,2,0)&amp;", "&amp;VLOOKUP(C5,[1]Sheet1!$A$2:$E$1223,3,0)&amp;", "&amp;VLOOKUP(C5,[1]Sheet1!$A$2:$E$1223,5,0)</f>
        <v>NEPTUNE BI2 ( BUILT IN ), KA, 52990</v>
      </c>
      <c r="E5" t="s">
        <v>278</v>
      </c>
      <c r="F5" t="s">
        <v>278</v>
      </c>
      <c r="G5" t="s">
        <v>706</v>
      </c>
      <c r="H5">
        <v>52990</v>
      </c>
      <c r="J5" s="2">
        <f>H5-(H5*0.05)</f>
        <v>50340.5</v>
      </c>
      <c r="K5" s="2" t="str">
        <f>VLOOKUP(B5,[2]DW!$B$2:$BA$100,39,0)</f>
        <v>A+</v>
      </c>
      <c r="L5" t="s">
        <v>73</v>
      </c>
      <c r="M5">
        <v>14</v>
      </c>
      <c r="N5" t="s">
        <v>315</v>
      </c>
      <c r="O5">
        <v>38</v>
      </c>
      <c r="P5">
        <v>0.95</v>
      </c>
      <c r="Q5">
        <v>9</v>
      </c>
      <c r="R5">
        <v>52</v>
      </c>
      <c r="S5" t="s">
        <v>316</v>
      </c>
      <c r="T5" t="s">
        <v>282</v>
      </c>
      <c r="U5" t="s">
        <v>283</v>
      </c>
      <c r="V5" t="s">
        <v>284</v>
      </c>
      <c r="Y5" t="s">
        <v>287</v>
      </c>
      <c r="AB5" t="s">
        <v>292</v>
      </c>
      <c r="AC5" t="s">
        <v>317</v>
      </c>
      <c r="AD5" t="s">
        <v>116</v>
      </c>
      <c r="AF5" t="s">
        <v>302</v>
      </c>
      <c r="AH5" t="s">
        <v>304</v>
      </c>
      <c r="AI5" t="s">
        <v>305</v>
      </c>
      <c r="AJ5" t="s">
        <v>306</v>
      </c>
      <c r="AK5" t="s">
        <v>314</v>
      </c>
      <c r="AL5" t="s">
        <v>307</v>
      </c>
      <c r="AM5" t="s">
        <v>308</v>
      </c>
      <c r="AN5" t="s">
        <v>309</v>
      </c>
    </row>
  </sheetData>
  <hyperlinks>
    <hyperlink ref="B2" r:id="rId1" display="https://www.ifbappliances.com/neptune-vx16" xr:uid="{4B049C7F-39E9-45B9-90DE-1E90206E3049}"/>
    <hyperlink ref="B3" r:id="rId2" display="https://www.ifbappliances.com/neptune-vx2-plus" xr:uid="{47E921E1-E2AA-4D1F-A52A-79A0E61DDC15}"/>
    <hyperlink ref="B4" r:id="rId3" display="https://www.ifbappliances.com/neptune-sx2" xr:uid="{0D8ABADA-047D-4BF4-9B64-3A57CAC27496}"/>
    <hyperlink ref="B5" r:id="rId4" display="https://www.ifbappliances.com/neptune-bi2" xr:uid="{3EAAED3A-F69F-4BC0-B2A5-C0106C1B84BC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4892-2818-4F15-91EA-2FC6F371EFE7}">
  <sheetPr codeName="Sheet6"/>
  <dimension ref="A1:W24"/>
  <sheetViews>
    <sheetView workbookViewId="0">
      <selection activeCell="A2" sqref="A2:L24"/>
    </sheetView>
  </sheetViews>
  <sheetFormatPr defaultRowHeight="15" x14ac:dyDescent="0.25"/>
  <cols>
    <col min="2" max="2" width="14.140625" bestFit="1" customWidth="1"/>
    <col min="3" max="4" width="14.140625" customWidth="1"/>
    <col min="6" max="6" width="11.42578125" bestFit="1" customWidth="1"/>
    <col min="7" max="7" width="44.5703125" bestFit="1" customWidth="1"/>
    <col min="8" max="8" width="6" bestFit="1" customWidth="1"/>
    <col min="9" max="9" width="6" customWidth="1"/>
    <col min="10" max="10" width="11.42578125" bestFit="1" customWidth="1"/>
    <col min="11" max="11" width="11.42578125" customWidth="1"/>
    <col min="12" max="12" width="6.140625" bestFit="1" customWidth="1"/>
    <col min="13" max="13" width="8.85546875" bestFit="1" customWidth="1"/>
    <col min="14" max="14" width="15.7109375" bestFit="1" customWidth="1"/>
    <col min="15" max="15" width="10" bestFit="1" customWidth="1"/>
    <col min="16" max="16" width="26.7109375" bestFit="1" customWidth="1"/>
    <col min="17" max="17" width="22.140625" bestFit="1" customWidth="1"/>
    <col min="18" max="18" width="12.85546875" bestFit="1" customWidth="1"/>
    <col min="19" max="19" width="4.140625" bestFit="1" customWidth="1"/>
    <col min="20" max="20" width="11.140625" bestFit="1" customWidth="1"/>
    <col min="21" max="21" width="38.28515625" bestFit="1" customWidth="1"/>
    <col min="22" max="22" width="14.140625" bestFit="1" customWidth="1"/>
    <col min="23" max="23" width="11.5703125" bestFit="1" customWidth="1"/>
  </cols>
  <sheetData>
    <row r="1" spans="1:23" x14ac:dyDescent="0.25">
      <c r="A1" s="4" t="s">
        <v>837</v>
      </c>
      <c r="B1" s="4" t="s">
        <v>66</v>
      </c>
      <c r="C1" s="4" t="s">
        <v>836</v>
      </c>
      <c r="D1" s="4"/>
      <c r="E1" s="4" t="s">
        <v>67</v>
      </c>
      <c r="F1" s="4" t="s">
        <v>68</v>
      </c>
      <c r="G1" s="4" t="s">
        <v>69</v>
      </c>
      <c r="H1" s="4" t="s">
        <v>71</v>
      </c>
      <c r="I1" s="4"/>
      <c r="J1" s="4" t="s">
        <v>70</v>
      </c>
      <c r="K1" s="4" t="s">
        <v>840</v>
      </c>
      <c r="L1" s="4" t="s">
        <v>72</v>
      </c>
      <c r="M1" s="4" t="s">
        <v>74</v>
      </c>
      <c r="N1" s="4" t="s">
        <v>360</v>
      </c>
      <c r="O1" s="4" t="s">
        <v>361</v>
      </c>
      <c r="P1" s="4" t="s">
        <v>324</v>
      </c>
      <c r="Q1" s="4" t="s">
        <v>325</v>
      </c>
      <c r="R1" s="4" t="s">
        <v>326</v>
      </c>
      <c r="S1" s="4" t="s">
        <v>355</v>
      </c>
      <c r="T1" s="4" t="s">
        <v>363</v>
      </c>
      <c r="U1" s="4" t="s">
        <v>365</v>
      </c>
      <c r="V1" s="4" t="s">
        <v>364</v>
      </c>
      <c r="W1" s="4" t="s">
        <v>372</v>
      </c>
    </row>
    <row r="2" spans="1:23" x14ac:dyDescent="0.25">
      <c r="A2">
        <v>1</v>
      </c>
      <c r="B2" s="1" t="s">
        <v>318</v>
      </c>
      <c r="C2" s="10" t="e">
        <v>#N/A</v>
      </c>
      <c r="D2" s="10"/>
      <c r="E2" t="s">
        <v>319</v>
      </c>
      <c r="F2" t="s">
        <v>321</v>
      </c>
      <c r="G2" t="s">
        <v>707</v>
      </c>
      <c r="H2">
        <v>3620</v>
      </c>
      <c r="J2">
        <f>H2-(H2*0)</f>
        <v>3620</v>
      </c>
      <c r="K2" t="str">
        <f>VLOOKUP(B2,[2]ST!$B$2:$BA$100,20,0)</f>
        <v>C</v>
      </c>
      <c r="L2" t="s">
        <v>73</v>
      </c>
      <c r="M2" t="s">
        <v>322</v>
      </c>
      <c r="N2" t="s">
        <v>323</v>
      </c>
      <c r="P2" t="s">
        <v>327</v>
      </c>
      <c r="Q2" t="s">
        <v>328</v>
      </c>
      <c r="R2" t="s">
        <v>329</v>
      </c>
    </row>
    <row r="3" spans="1:23" x14ac:dyDescent="0.25">
      <c r="A3">
        <v>2</v>
      </c>
      <c r="B3" s="1" t="s">
        <v>330</v>
      </c>
      <c r="C3" s="10" t="e">
        <v>#N/A</v>
      </c>
      <c r="D3" s="10"/>
      <c r="E3" t="s">
        <v>319</v>
      </c>
      <c r="F3" t="s">
        <v>321</v>
      </c>
      <c r="G3" t="s">
        <v>708</v>
      </c>
      <c r="H3">
        <v>3150</v>
      </c>
      <c r="J3">
        <f t="shared" ref="J3:J24" si="0">H3-(H3*0)</f>
        <v>3150</v>
      </c>
      <c r="K3" t="str">
        <f>VLOOKUP(B3,[2]ST!$B$2:$BA$100,20,0)</f>
        <v>C</v>
      </c>
      <c r="L3" t="s">
        <v>73</v>
      </c>
      <c r="M3" t="s">
        <v>322</v>
      </c>
      <c r="N3" t="s">
        <v>323</v>
      </c>
      <c r="P3" t="s">
        <v>327</v>
      </c>
      <c r="R3" t="s">
        <v>329</v>
      </c>
      <c r="S3" t="s">
        <v>83</v>
      </c>
    </row>
    <row r="4" spans="1:23" x14ac:dyDescent="0.25">
      <c r="A4">
        <v>3</v>
      </c>
      <c r="B4" s="1" t="s">
        <v>331</v>
      </c>
      <c r="C4" s="10" t="e">
        <v>#N/A</v>
      </c>
      <c r="D4" s="10"/>
      <c r="E4" t="s">
        <v>319</v>
      </c>
      <c r="F4" t="s">
        <v>321</v>
      </c>
      <c r="G4" t="s">
        <v>709</v>
      </c>
      <c r="H4">
        <v>2600</v>
      </c>
      <c r="J4">
        <f t="shared" si="0"/>
        <v>2600</v>
      </c>
      <c r="K4" t="str">
        <f>VLOOKUP(B4,[2]ST!$B$2:$BA$100,20,0)</f>
        <v>C</v>
      </c>
      <c r="L4" t="s">
        <v>73</v>
      </c>
      <c r="M4" t="s">
        <v>356</v>
      </c>
      <c r="N4" t="s">
        <v>323</v>
      </c>
      <c r="P4" t="s">
        <v>327</v>
      </c>
      <c r="R4" t="s">
        <v>329</v>
      </c>
      <c r="S4" t="s">
        <v>83</v>
      </c>
    </row>
    <row r="5" spans="1:23" x14ac:dyDescent="0.25">
      <c r="A5">
        <v>4</v>
      </c>
      <c r="B5" s="1" t="s">
        <v>332</v>
      </c>
      <c r="C5" s="10" t="e">
        <v>#N/A</v>
      </c>
      <c r="D5" s="10"/>
      <c r="E5" t="s">
        <v>319</v>
      </c>
      <c r="F5" t="s">
        <v>321</v>
      </c>
      <c r="G5" t="s">
        <v>710</v>
      </c>
      <c r="H5">
        <v>2500</v>
      </c>
      <c r="J5">
        <f t="shared" si="0"/>
        <v>2500</v>
      </c>
      <c r="K5" t="str">
        <f>VLOOKUP(B5,[2]ST!$B$2:$BA$100,20,0)</f>
        <v>C</v>
      </c>
      <c r="L5" t="s">
        <v>73</v>
      </c>
      <c r="M5" t="s">
        <v>359</v>
      </c>
      <c r="N5" t="s">
        <v>323</v>
      </c>
      <c r="O5" t="s">
        <v>362</v>
      </c>
      <c r="Q5" t="s">
        <v>328</v>
      </c>
      <c r="R5" t="s">
        <v>329</v>
      </c>
      <c r="S5" t="s">
        <v>83</v>
      </c>
    </row>
    <row r="6" spans="1:23" x14ac:dyDescent="0.25">
      <c r="A6">
        <v>5</v>
      </c>
      <c r="B6" s="1" t="s">
        <v>333</v>
      </c>
      <c r="C6" s="10" t="e">
        <v>#N/A</v>
      </c>
      <c r="D6" s="10"/>
      <c r="E6" t="s">
        <v>319</v>
      </c>
      <c r="F6" t="s">
        <v>320</v>
      </c>
      <c r="G6" t="s">
        <v>711</v>
      </c>
      <c r="H6">
        <v>6350</v>
      </c>
      <c r="J6">
        <f t="shared" si="0"/>
        <v>6350</v>
      </c>
      <c r="K6" t="str">
        <f>VLOOKUP(B6,[2]ST!$B$2:$BA$100,20,0)</f>
        <v>C</v>
      </c>
      <c r="L6" t="s">
        <v>73</v>
      </c>
      <c r="M6" t="s">
        <v>359</v>
      </c>
      <c r="N6" t="s">
        <v>1</v>
      </c>
      <c r="O6" t="s">
        <v>226</v>
      </c>
      <c r="P6" t="s">
        <v>327</v>
      </c>
      <c r="R6" t="s">
        <v>329</v>
      </c>
      <c r="S6" t="s">
        <v>83</v>
      </c>
    </row>
    <row r="7" spans="1:23" x14ac:dyDescent="0.25">
      <c r="A7">
        <v>6</v>
      </c>
      <c r="B7" s="1" t="s">
        <v>334</v>
      </c>
      <c r="C7" s="10" t="e">
        <v>#N/A</v>
      </c>
      <c r="D7" s="10"/>
      <c r="E7" t="s">
        <v>319</v>
      </c>
      <c r="F7" t="s">
        <v>320</v>
      </c>
      <c r="G7" t="s">
        <v>712</v>
      </c>
      <c r="H7">
        <v>4750</v>
      </c>
      <c r="J7">
        <f t="shared" si="0"/>
        <v>4750</v>
      </c>
      <c r="K7" t="str">
        <f>VLOOKUP(B7,[2]ST!$B$2:$BA$100,20,0)</f>
        <v>C</v>
      </c>
      <c r="L7" t="s">
        <v>73</v>
      </c>
      <c r="M7" t="s">
        <v>359</v>
      </c>
      <c r="N7" t="s">
        <v>1</v>
      </c>
      <c r="O7" t="s">
        <v>226</v>
      </c>
      <c r="R7" t="s">
        <v>329</v>
      </c>
      <c r="S7" t="s">
        <v>83</v>
      </c>
      <c r="T7" t="s">
        <v>366</v>
      </c>
      <c r="U7" t="s">
        <v>367</v>
      </c>
    </row>
    <row r="8" spans="1:23" x14ac:dyDescent="0.25">
      <c r="A8">
        <v>7</v>
      </c>
      <c r="B8" s="1" t="s">
        <v>335</v>
      </c>
      <c r="C8" s="10" t="e">
        <v>#N/A</v>
      </c>
      <c r="D8" s="10"/>
      <c r="E8" t="s">
        <v>319</v>
      </c>
      <c r="F8" t="s">
        <v>320</v>
      </c>
      <c r="G8" t="s">
        <v>713</v>
      </c>
      <c r="H8">
        <v>3500</v>
      </c>
      <c r="J8">
        <f t="shared" si="0"/>
        <v>3500</v>
      </c>
      <c r="K8" t="str">
        <f>VLOOKUP(B8,[2]ST!$B$2:$BA$100,20,0)</f>
        <v>C</v>
      </c>
      <c r="L8" t="s">
        <v>73</v>
      </c>
      <c r="M8" t="s">
        <v>359</v>
      </c>
      <c r="N8" t="s">
        <v>1</v>
      </c>
      <c r="O8" t="s">
        <v>226</v>
      </c>
      <c r="P8" t="s">
        <v>327</v>
      </c>
      <c r="R8" t="s">
        <v>329</v>
      </c>
      <c r="S8" t="s">
        <v>83</v>
      </c>
    </row>
    <row r="9" spans="1:23" x14ac:dyDescent="0.25">
      <c r="A9">
        <v>8</v>
      </c>
      <c r="B9" s="1" t="s">
        <v>336</v>
      </c>
      <c r="C9" s="10" t="e">
        <v>#N/A</v>
      </c>
      <c r="D9" s="10"/>
      <c r="E9" t="s">
        <v>319</v>
      </c>
      <c r="F9" t="s">
        <v>320</v>
      </c>
      <c r="G9" t="s">
        <v>714</v>
      </c>
      <c r="H9">
        <v>3250</v>
      </c>
      <c r="J9">
        <f t="shared" si="0"/>
        <v>3250</v>
      </c>
      <c r="K9" t="str">
        <f>VLOOKUP(B9,[2]ST!$B$2:$BA$100,20,0)</f>
        <v>C</v>
      </c>
      <c r="L9" t="s">
        <v>73</v>
      </c>
      <c r="M9" t="s">
        <v>359</v>
      </c>
      <c r="N9" t="s">
        <v>1</v>
      </c>
      <c r="O9" t="s">
        <v>226</v>
      </c>
      <c r="R9" t="s">
        <v>329</v>
      </c>
      <c r="S9" t="s">
        <v>83</v>
      </c>
      <c r="T9" t="s">
        <v>366</v>
      </c>
      <c r="U9" t="s">
        <v>367</v>
      </c>
    </row>
    <row r="10" spans="1:23" x14ac:dyDescent="0.25">
      <c r="A10">
        <v>9</v>
      </c>
      <c r="B10" s="1" t="s">
        <v>337</v>
      </c>
      <c r="C10" s="10" t="e">
        <v>#N/A</v>
      </c>
      <c r="D10" s="10"/>
      <c r="E10" t="s">
        <v>319</v>
      </c>
      <c r="F10" t="s">
        <v>320</v>
      </c>
      <c r="G10" t="s">
        <v>715</v>
      </c>
      <c r="H10">
        <v>3250</v>
      </c>
      <c r="J10">
        <f t="shared" si="0"/>
        <v>3250</v>
      </c>
      <c r="K10" t="str">
        <f>VLOOKUP(B10,[2]ST!$B$2:$BA$100,20,0)</f>
        <v>C</v>
      </c>
      <c r="L10" t="s">
        <v>73</v>
      </c>
      <c r="M10" t="s">
        <v>359</v>
      </c>
      <c r="N10" t="s">
        <v>1</v>
      </c>
      <c r="O10" t="s">
        <v>226</v>
      </c>
      <c r="S10" t="s">
        <v>83</v>
      </c>
      <c r="T10" t="s">
        <v>366</v>
      </c>
    </row>
    <row r="11" spans="1:23" x14ac:dyDescent="0.25">
      <c r="A11">
        <v>10</v>
      </c>
      <c r="B11" s="1" t="s">
        <v>338</v>
      </c>
      <c r="C11" s="10" t="e">
        <v>#N/A</v>
      </c>
      <c r="D11" s="10"/>
      <c r="E11" t="s">
        <v>319</v>
      </c>
      <c r="F11" t="s">
        <v>339</v>
      </c>
      <c r="G11" t="s">
        <v>716</v>
      </c>
      <c r="H11">
        <v>2930</v>
      </c>
      <c r="J11">
        <f t="shared" si="0"/>
        <v>2930</v>
      </c>
      <c r="K11" t="str">
        <f>VLOOKUP(B11,[2]ST!$B$2:$BA$100,20,0)</f>
        <v>C</v>
      </c>
      <c r="L11" t="s">
        <v>73</v>
      </c>
      <c r="M11" t="s">
        <v>358</v>
      </c>
      <c r="N11" t="s">
        <v>368</v>
      </c>
      <c r="Q11" t="s">
        <v>328</v>
      </c>
      <c r="S11" t="s">
        <v>83</v>
      </c>
      <c r="V11" s="5" t="s">
        <v>369</v>
      </c>
    </row>
    <row r="12" spans="1:23" x14ac:dyDescent="0.25">
      <c r="A12">
        <v>11</v>
      </c>
      <c r="B12" s="1" t="s">
        <v>340</v>
      </c>
      <c r="C12" s="10" t="e">
        <v>#N/A</v>
      </c>
      <c r="D12" s="10"/>
      <c r="E12" t="s">
        <v>319</v>
      </c>
      <c r="F12" t="s">
        <v>339</v>
      </c>
      <c r="G12" t="s">
        <v>717</v>
      </c>
      <c r="H12">
        <v>2750</v>
      </c>
      <c r="J12">
        <f t="shared" si="0"/>
        <v>2750</v>
      </c>
      <c r="K12" t="str">
        <f>VLOOKUP(B12,[2]ST!$B$2:$BA$100,20,0)</f>
        <v>C</v>
      </c>
      <c r="L12" t="s">
        <v>73</v>
      </c>
      <c r="M12" t="s">
        <v>358</v>
      </c>
      <c r="N12" t="s">
        <v>368</v>
      </c>
      <c r="Q12" t="s">
        <v>328</v>
      </c>
      <c r="T12" t="s">
        <v>366</v>
      </c>
      <c r="V12" s="5" t="s">
        <v>369</v>
      </c>
    </row>
    <row r="13" spans="1:23" x14ac:dyDescent="0.25">
      <c r="A13">
        <v>12</v>
      </c>
      <c r="B13" s="1" t="s">
        <v>341</v>
      </c>
      <c r="C13" s="10" t="e">
        <v>#N/A</v>
      </c>
      <c r="D13" s="10"/>
      <c r="E13" t="s">
        <v>319</v>
      </c>
      <c r="F13" t="s">
        <v>339</v>
      </c>
      <c r="G13" t="s">
        <v>718</v>
      </c>
      <c r="H13">
        <v>2750</v>
      </c>
      <c r="J13">
        <f t="shared" si="0"/>
        <v>2750</v>
      </c>
      <c r="K13" t="str">
        <f>VLOOKUP(B13,[2]ST!$B$2:$BA$100,20,0)</f>
        <v>C</v>
      </c>
      <c r="L13" t="s">
        <v>73</v>
      </c>
      <c r="M13" t="s">
        <v>358</v>
      </c>
      <c r="N13" t="s">
        <v>368</v>
      </c>
      <c r="Q13" t="s">
        <v>328</v>
      </c>
      <c r="V13" s="5" t="s">
        <v>369</v>
      </c>
    </row>
    <row r="14" spans="1:23" x14ac:dyDescent="0.25">
      <c r="A14">
        <v>13</v>
      </c>
      <c r="B14" s="1" t="s">
        <v>342</v>
      </c>
      <c r="C14" s="10" t="e">
        <v>#N/A</v>
      </c>
      <c r="D14" s="10"/>
      <c r="E14" t="s">
        <v>319</v>
      </c>
      <c r="F14" t="s">
        <v>343</v>
      </c>
      <c r="G14" t="s">
        <v>719</v>
      </c>
      <c r="H14">
        <v>7200</v>
      </c>
      <c r="J14">
        <f t="shared" si="0"/>
        <v>7200</v>
      </c>
      <c r="K14" t="str">
        <f>VLOOKUP(B14,[2]ST!$B$2:$BA$100,20,0)</f>
        <v>C</v>
      </c>
      <c r="L14" t="s">
        <v>73</v>
      </c>
      <c r="M14" t="s">
        <v>357</v>
      </c>
      <c r="N14" t="s">
        <v>370</v>
      </c>
      <c r="Q14" t="s">
        <v>328</v>
      </c>
      <c r="R14" t="s">
        <v>329</v>
      </c>
      <c r="S14" t="s">
        <v>83</v>
      </c>
    </row>
    <row r="15" spans="1:23" x14ac:dyDescent="0.25">
      <c r="A15">
        <v>14</v>
      </c>
      <c r="B15" s="1" t="s">
        <v>344</v>
      </c>
      <c r="C15" s="10" t="e">
        <v>#N/A</v>
      </c>
      <c r="D15" s="10"/>
      <c r="E15" t="s">
        <v>319</v>
      </c>
      <c r="F15" t="s">
        <v>343</v>
      </c>
      <c r="G15" t="s">
        <v>720</v>
      </c>
      <c r="H15">
        <v>21500</v>
      </c>
      <c r="J15">
        <f t="shared" si="0"/>
        <v>21500</v>
      </c>
      <c r="K15" t="str">
        <f>VLOOKUP(B15,[2]ST!$B$2:$BA$100,20,0)</f>
        <v>A++</v>
      </c>
      <c r="L15" t="s">
        <v>73</v>
      </c>
      <c r="M15" t="s">
        <v>371</v>
      </c>
      <c r="N15" t="s">
        <v>370</v>
      </c>
      <c r="R15" t="s">
        <v>329</v>
      </c>
      <c r="S15" t="s">
        <v>83</v>
      </c>
      <c r="W15" s="5" t="s">
        <v>373</v>
      </c>
    </row>
    <row r="16" spans="1:23" x14ac:dyDescent="0.25">
      <c r="A16">
        <v>15</v>
      </c>
      <c r="B16" s="1" t="s">
        <v>345</v>
      </c>
      <c r="C16" s="10" t="e">
        <v>#N/A</v>
      </c>
      <c r="D16" s="10"/>
      <c r="E16" t="s">
        <v>319</v>
      </c>
      <c r="F16" t="s">
        <v>343</v>
      </c>
      <c r="G16" t="s">
        <v>721</v>
      </c>
      <c r="H16">
        <v>13800</v>
      </c>
      <c r="J16">
        <f t="shared" si="0"/>
        <v>13800</v>
      </c>
      <c r="K16" t="str">
        <f>VLOOKUP(B16,[2]ST!$B$2:$BA$100,20,0)</f>
        <v>C</v>
      </c>
      <c r="L16" t="s">
        <v>73</v>
      </c>
      <c r="M16" t="s">
        <v>359</v>
      </c>
      <c r="N16" t="str">
        <f>$N$15</f>
        <v>25 Amp Mainline</v>
      </c>
      <c r="Q16" t="s">
        <v>328</v>
      </c>
      <c r="V16" t="s">
        <v>369</v>
      </c>
    </row>
    <row r="17" spans="1:21" x14ac:dyDescent="0.25">
      <c r="A17">
        <v>16</v>
      </c>
      <c r="B17" s="1" t="s">
        <v>346</v>
      </c>
      <c r="C17" s="10" t="e">
        <v>#N/A</v>
      </c>
      <c r="D17" s="10"/>
      <c r="E17" t="s">
        <v>319</v>
      </c>
      <c r="F17" t="s">
        <v>339</v>
      </c>
      <c r="G17" t="s">
        <v>722</v>
      </c>
      <c r="H17">
        <v>10800</v>
      </c>
      <c r="J17">
        <f t="shared" si="0"/>
        <v>10800</v>
      </c>
      <c r="K17" t="str">
        <f>VLOOKUP(B17,[2]ST!$B$2:$BA$100,20,0)</f>
        <v>C</v>
      </c>
      <c r="L17" t="s">
        <v>73</v>
      </c>
      <c r="M17" t="s">
        <v>359</v>
      </c>
      <c r="N17" t="s">
        <v>374</v>
      </c>
      <c r="Q17" t="s">
        <v>328</v>
      </c>
      <c r="S17" t="s">
        <v>83</v>
      </c>
    </row>
    <row r="18" spans="1:21" x14ac:dyDescent="0.25">
      <c r="A18">
        <v>17</v>
      </c>
      <c r="B18" s="1" t="s">
        <v>347</v>
      </c>
      <c r="C18" s="10" t="e">
        <v>#N/A</v>
      </c>
      <c r="D18" s="10"/>
      <c r="E18" t="s">
        <v>319</v>
      </c>
      <c r="F18" t="s">
        <v>339</v>
      </c>
      <c r="G18" t="s">
        <v>723</v>
      </c>
      <c r="H18">
        <v>6350</v>
      </c>
      <c r="J18">
        <f t="shared" si="0"/>
        <v>6350</v>
      </c>
      <c r="K18" t="str">
        <f>VLOOKUP(B18,[2]ST!$B$2:$BA$100,20,0)</f>
        <v>C</v>
      </c>
      <c r="L18" t="s">
        <v>73</v>
      </c>
      <c r="M18" t="s">
        <v>359</v>
      </c>
      <c r="N18" t="s">
        <v>374</v>
      </c>
      <c r="R18" t="s">
        <v>329</v>
      </c>
      <c r="T18" t="s">
        <v>366</v>
      </c>
    </row>
    <row r="19" spans="1:21" x14ac:dyDescent="0.25">
      <c r="A19">
        <v>18</v>
      </c>
      <c r="B19" s="1" t="s">
        <v>348</v>
      </c>
      <c r="C19" s="10" t="e">
        <v>#N/A</v>
      </c>
      <c r="D19" s="10"/>
      <c r="E19" t="s">
        <v>319</v>
      </c>
      <c r="F19" t="s">
        <v>339</v>
      </c>
      <c r="G19" t="s">
        <v>724</v>
      </c>
      <c r="H19">
        <v>4750</v>
      </c>
      <c r="J19">
        <f t="shared" si="0"/>
        <v>4750</v>
      </c>
      <c r="K19" t="str">
        <f>VLOOKUP(B19,[2]ST!$B$2:$BA$100,20,0)</f>
        <v>C</v>
      </c>
      <c r="L19" t="s">
        <v>73</v>
      </c>
      <c r="M19" t="s">
        <v>359</v>
      </c>
      <c r="N19" t="s">
        <v>374</v>
      </c>
      <c r="S19" t="s">
        <v>83</v>
      </c>
      <c r="U19" t="s">
        <v>367</v>
      </c>
    </row>
    <row r="20" spans="1:21" x14ac:dyDescent="0.25">
      <c r="A20">
        <v>19</v>
      </c>
      <c r="B20" s="1" t="s">
        <v>349</v>
      </c>
      <c r="C20" s="10" t="e">
        <v>#N/A</v>
      </c>
      <c r="D20" s="10"/>
      <c r="E20" t="s">
        <v>319</v>
      </c>
      <c r="F20" t="s">
        <v>339</v>
      </c>
      <c r="G20" t="s">
        <v>725</v>
      </c>
      <c r="H20">
        <v>3600</v>
      </c>
      <c r="J20">
        <f t="shared" si="0"/>
        <v>3600</v>
      </c>
      <c r="K20" t="str">
        <f>VLOOKUP(B20,[2]ST!$B$2:$BA$100,20,0)</f>
        <v>C</v>
      </c>
      <c r="L20" t="s">
        <v>73</v>
      </c>
      <c r="M20" t="s">
        <v>359</v>
      </c>
      <c r="N20" t="s">
        <v>374</v>
      </c>
      <c r="P20" t="s">
        <v>327</v>
      </c>
      <c r="S20" t="s">
        <v>83</v>
      </c>
    </row>
    <row r="21" spans="1:21" x14ac:dyDescent="0.25">
      <c r="A21">
        <v>20</v>
      </c>
      <c r="B21" s="1" t="s">
        <v>350</v>
      </c>
      <c r="C21" s="10" t="e">
        <v>#N/A</v>
      </c>
      <c r="D21" s="10"/>
      <c r="E21" t="s">
        <v>319</v>
      </c>
      <c r="F21" t="s">
        <v>339</v>
      </c>
      <c r="G21" t="s">
        <v>726</v>
      </c>
      <c r="H21">
        <v>9700</v>
      </c>
      <c r="J21">
        <f t="shared" si="0"/>
        <v>9700</v>
      </c>
      <c r="K21" t="str">
        <f>VLOOKUP(B21,[2]ST!$B$2:$BA$100,20,0)</f>
        <v>C</v>
      </c>
      <c r="L21" t="s">
        <v>73</v>
      </c>
      <c r="M21" t="s">
        <v>358</v>
      </c>
      <c r="N21" t="s">
        <v>368</v>
      </c>
      <c r="P21" t="s">
        <v>327</v>
      </c>
      <c r="S21" t="s">
        <v>83</v>
      </c>
    </row>
    <row r="22" spans="1:21" x14ac:dyDescent="0.25">
      <c r="A22">
        <v>21</v>
      </c>
      <c r="B22" s="1" t="s">
        <v>351</v>
      </c>
      <c r="C22" s="10" t="e">
        <v>#N/A</v>
      </c>
      <c r="D22" s="10"/>
      <c r="E22" t="s">
        <v>319</v>
      </c>
      <c r="F22" t="s">
        <v>339</v>
      </c>
      <c r="G22" t="s">
        <v>727</v>
      </c>
      <c r="H22">
        <v>5650</v>
      </c>
      <c r="J22">
        <f t="shared" si="0"/>
        <v>5650</v>
      </c>
      <c r="K22" t="str">
        <f>VLOOKUP(B22,[2]ST!$B$2:$BA$100,20,0)</f>
        <v>C</v>
      </c>
      <c r="L22" t="s">
        <v>73</v>
      </c>
      <c r="M22" t="s">
        <v>358</v>
      </c>
      <c r="N22" t="s">
        <v>368</v>
      </c>
      <c r="R22" t="s">
        <v>329</v>
      </c>
      <c r="S22" t="s">
        <v>83</v>
      </c>
    </row>
    <row r="23" spans="1:21" x14ac:dyDescent="0.25">
      <c r="A23">
        <v>22</v>
      </c>
      <c r="B23" s="1" t="s">
        <v>352</v>
      </c>
      <c r="C23" s="10" t="e">
        <v>#N/A</v>
      </c>
      <c r="D23" s="10"/>
      <c r="E23" t="s">
        <v>319</v>
      </c>
      <c r="F23" t="s">
        <v>339</v>
      </c>
      <c r="G23" t="s">
        <v>728</v>
      </c>
      <c r="H23">
        <v>4250</v>
      </c>
      <c r="J23">
        <f t="shared" si="0"/>
        <v>4250</v>
      </c>
      <c r="K23" t="str">
        <f>VLOOKUP(B23,[2]ST!$B$2:$BA$100,20,0)</f>
        <v>C</v>
      </c>
      <c r="L23" t="s">
        <v>73</v>
      </c>
      <c r="M23" t="s">
        <v>358</v>
      </c>
      <c r="N23" t="s">
        <v>368</v>
      </c>
      <c r="P23" t="s">
        <v>327</v>
      </c>
      <c r="Q23" t="s">
        <v>328</v>
      </c>
      <c r="S23" t="s">
        <v>83</v>
      </c>
      <c r="T23" t="s">
        <v>366</v>
      </c>
    </row>
    <row r="24" spans="1:21" x14ac:dyDescent="0.25">
      <c r="A24">
        <v>23</v>
      </c>
      <c r="B24" s="1" t="s">
        <v>353</v>
      </c>
      <c r="C24" s="10" t="e">
        <v>#N/A</v>
      </c>
      <c r="D24" s="10"/>
      <c r="E24" t="s">
        <v>319</v>
      </c>
      <c r="F24" t="s">
        <v>339</v>
      </c>
      <c r="G24" t="s">
        <v>729</v>
      </c>
      <c r="H24">
        <v>3100</v>
      </c>
      <c r="J24">
        <f t="shared" si="0"/>
        <v>3100</v>
      </c>
      <c r="K24" t="str">
        <f>VLOOKUP(B24,[2]ST!$B$2:$BA$100,20,0)</f>
        <v>C</v>
      </c>
      <c r="L24" t="s">
        <v>73</v>
      </c>
      <c r="M24" t="s">
        <v>358</v>
      </c>
      <c r="N24" t="s">
        <v>368</v>
      </c>
      <c r="Q24" t="s">
        <v>328</v>
      </c>
      <c r="S24" t="s">
        <v>83</v>
      </c>
    </row>
  </sheetData>
  <phoneticPr fontId="3" type="noConversion"/>
  <hyperlinks>
    <hyperlink ref="B2" r:id="rId1" display="https://www.ifbappliances.com/ivs-7005-lr" xr:uid="{374AD5A7-4EBF-4E3F-8798-F2E1C36E7D4F}"/>
    <hyperlink ref="B3" r:id="rId2" display="https://www.ifbappliances.com/ivs-9505-lr" xr:uid="{46902DFD-C516-4058-97FB-BA6D459AE743}"/>
    <hyperlink ref="B4" r:id="rId3" display="https://www.ifbappliances.com/ivs-10005-r" xr:uid="{D2439BA3-FB5A-46B4-A927-C6A80A567051}"/>
    <hyperlink ref="B5" r:id="rId4" display="https://www.ifbappliances.com/ivs-13005-r" xr:uid="{117C6DB4-65A9-4D60-8997-5E6E58F47F1A}"/>
    <hyperlink ref="B6" r:id="rId5" display="https://www.ifbappliances.com/ivs-1455-wmt" xr:uid="{6CE2B0BD-DC8B-4502-A655-6C57477ABEF0}"/>
    <hyperlink ref="B7" r:id="rId6" display="https://www.ifbappliances.com/ivs-1705-wmt" xr:uid="{05394AF5-072B-4863-8C34-FB3228803F45}"/>
    <hyperlink ref="B8" r:id="rId7" display="https://www.ifbappliances.com/ivs-1405-wmt" xr:uid="{EF199273-3E4A-496A-B2F3-A70610C5AAD6}"/>
    <hyperlink ref="B9" r:id="rId8" display="https://www.ifbappliances.com/ivs-1605-wmt" xr:uid="{A8ADC1CE-C8FA-485F-81B5-0B6ECC436B76}"/>
    <hyperlink ref="B10" r:id="rId9" display="https://www.ifbappliances.com/ivs-515-wmt" xr:uid="{4DB39385-D676-4F85-8CCF-41EA6C1E5F06}"/>
    <hyperlink ref="B11" r:id="rId10" display="https://www.ifbappliances.com/ivs-410-la" xr:uid="{7DFF00B6-2DE0-4B8A-9DF6-79DFC50AAA14}"/>
    <hyperlink ref="B12" r:id="rId11" display="https://www.ifbappliances.com/ivs-405-dla" xr:uid="{89250869-23F1-4BF7-A877-D21EBB9CB156}"/>
    <hyperlink ref="B13" r:id="rId12" display="https://www.ifbappliances.com/ivs-405-sla" xr:uid="{CDFC96FA-3B11-4F9B-B06F-CD9CD6C912AF}"/>
    <hyperlink ref="B14" r:id="rId13" display="https://www.ifbappliances.com/ivs-510050-ml-1" xr:uid="{EC23D9C3-16FF-4F9D-8283-08573ED1A029}"/>
    <hyperlink ref="B15" r:id="rId14" display="https://www.ifbappliances.com/ivs-1010050-ml" xr:uid="{DFB2579A-2952-4392-89BE-2E47E9C8A979}"/>
    <hyperlink ref="B16" r:id="rId15" display="https://www.ifbappliances.com/ivs-510050-ml" xr:uid="{2975338F-1959-4172-BF60-592AE97B0589}"/>
    <hyperlink ref="B17" r:id="rId16" display="https://www.ifbappliances.com/ivs955a" xr:uid="{18CE6BB5-891E-4A1C-9162-6DA2782FD015}"/>
    <hyperlink ref="B18" r:id="rId17" display="https://www.ifbappliances.com/ivs1455a" xr:uid="{5B637DBE-7FB3-4D05-B6C3-78A2D060591A}"/>
    <hyperlink ref="B19" r:id="rId18" display="https://www.ifbappliances.com/ivs1705a" xr:uid="{D8F2946C-6BFA-4969-AA0F-E3D1A84DFBE5}"/>
    <hyperlink ref="B20" r:id="rId19" display="https://www.ifbappliances.com/ivs1805a" xr:uid="{57427215-6213-4FB8-8D27-7F9011A21C37}"/>
    <hyperlink ref="B21" r:id="rId20" display="https://www.ifbappliances.com/ivs954a" xr:uid="{8AEE417F-95D8-477A-A0FB-F3AF08DF2168}"/>
    <hyperlink ref="B22" r:id="rId21" display="https://www.ifbappliances.com/ivs1454a" xr:uid="{E31D614C-ED3D-45D9-82B9-55CFD85D80E6}"/>
    <hyperlink ref="B23" r:id="rId22" display="https://www.ifbappliances.com/ivs1704a" xr:uid="{8A56881C-EA25-401C-A0A3-D6EF3786932C}"/>
    <hyperlink ref="B24" r:id="rId23" display="https://www.ifbappliances.com/ivs1804a" xr:uid="{8E88E1B4-A9D7-4438-9EC0-72BC5354D38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5EF0-E488-4738-83DD-6630D7F5BC76}">
  <sheetPr codeName="Sheet7"/>
  <dimension ref="A1:AS32"/>
  <sheetViews>
    <sheetView zoomScaleNormal="100" workbookViewId="0">
      <selection activeCell="A2" sqref="A2:L32"/>
    </sheetView>
  </sheetViews>
  <sheetFormatPr defaultRowHeight="15" x14ac:dyDescent="0.25"/>
  <cols>
    <col min="2" max="2" width="15.140625" bestFit="1" customWidth="1"/>
    <col min="3" max="3" width="19.7109375" style="8" customWidth="1"/>
    <col min="4" max="4" width="49.5703125" style="8" customWidth="1"/>
    <col min="5" max="5" width="9.140625" bestFit="1" customWidth="1"/>
    <col min="6" max="6" width="8.28515625" bestFit="1" customWidth="1"/>
    <col min="7" max="7" width="44.140625" bestFit="1" customWidth="1"/>
    <col min="8" max="8" width="6" bestFit="1" customWidth="1"/>
    <col min="9" max="10" width="13.28515625" customWidth="1"/>
    <col min="11" max="11" width="11.42578125" bestFit="1" customWidth="1"/>
    <col min="12" max="12" width="6.140625" bestFit="1" customWidth="1"/>
    <col min="13" max="13" width="8.85546875" bestFit="1" customWidth="1"/>
    <col min="14" max="14" width="10.7109375" bestFit="1" customWidth="1"/>
    <col min="15" max="15" width="6" bestFit="1" customWidth="1"/>
    <col min="16" max="16" width="4.85546875" bestFit="1" customWidth="1"/>
    <col min="17" max="17" width="4.7109375" bestFit="1" customWidth="1"/>
    <col min="18" max="18" width="19.5703125" bestFit="1" customWidth="1"/>
    <col min="19" max="19" width="14.85546875" bestFit="1" customWidth="1"/>
    <col min="20" max="20" width="26.42578125" bestFit="1" customWidth="1"/>
    <col min="21" max="21" width="16.85546875" bestFit="1" customWidth="1"/>
    <col min="22" max="22" width="12.7109375" bestFit="1" customWidth="1"/>
    <col min="23" max="23" width="13.42578125" bestFit="1" customWidth="1"/>
    <col min="24" max="24" width="14" bestFit="1" customWidth="1"/>
    <col min="25" max="25" width="31.5703125" bestFit="1" customWidth="1"/>
    <col min="26" max="26" width="19.5703125" bestFit="1" customWidth="1"/>
    <col min="27" max="27" width="8.85546875" bestFit="1" customWidth="1"/>
    <col min="28" max="28" width="19.28515625" bestFit="1" customWidth="1"/>
    <col min="29" max="29" width="17.5703125" bestFit="1" customWidth="1"/>
    <col min="30" max="30" width="9.85546875" bestFit="1" customWidth="1"/>
    <col min="31" max="31" width="14.28515625" bestFit="1" customWidth="1"/>
    <col min="32" max="32" width="21.140625" bestFit="1" customWidth="1"/>
    <col min="33" max="33" width="11.5703125" bestFit="1" customWidth="1"/>
    <col min="34" max="34" width="18.140625" bestFit="1" customWidth="1"/>
    <col min="35" max="35" width="13.7109375" bestFit="1" customWidth="1"/>
    <col min="36" max="36" width="17.28515625" bestFit="1" customWidth="1"/>
    <col min="37" max="37" width="11.42578125" bestFit="1" customWidth="1"/>
    <col min="38" max="38" width="9.85546875" bestFit="1" customWidth="1"/>
    <col min="39" max="39" width="10.28515625" bestFit="1" customWidth="1"/>
    <col min="40" max="40" width="9.140625" bestFit="1" customWidth="1"/>
    <col min="41" max="41" width="9.5703125" bestFit="1" customWidth="1"/>
    <col min="42" max="42" width="10.28515625" bestFit="1" customWidth="1"/>
    <col min="43" max="43" width="11" bestFit="1" customWidth="1"/>
    <col min="44" max="44" width="9.42578125" bestFit="1" customWidth="1"/>
    <col min="45" max="45" width="4.140625" bestFit="1" customWidth="1"/>
  </cols>
  <sheetData>
    <row r="1" spans="1:45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 t="s">
        <v>838</v>
      </c>
      <c r="J1" s="4" t="s">
        <v>840</v>
      </c>
      <c r="K1" s="4" t="s">
        <v>70</v>
      </c>
      <c r="L1" s="4" t="s">
        <v>72</v>
      </c>
      <c r="M1" s="4" t="s">
        <v>74</v>
      </c>
      <c r="N1" s="4" t="s">
        <v>375</v>
      </c>
      <c r="O1" s="4" t="s">
        <v>202</v>
      </c>
      <c r="P1" s="4" t="s">
        <v>84</v>
      </c>
      <c r="Q1" s="4" t="s">
        <v>85</v>
      </c>
      <c r="R1" s="4" t="s">
        <v>86</v>
      </c>
      <c r="S1" s="4" t="s">
        <v>87</v>
      </c>
      <c r="T1" s="4" t="s">
        <v>88</v>
      </c>
      <c r="U1" s="4" t="s">
        <v>89</v>
      </c>
      <c r="V1" s="4" t="s">
        <v>90</v>
      </c>
      <c r="W1" s="4" t="s">
        <v>91</v>
      </c>
      <c r="X1" s="4" t="s">
        <v>110</v>
      </c>
      <c r="Y1" s="4" t="s">
        <v>129</v>
      </c>
      <c r="Z1" s="4" t="s">
        <v>274</v>
      </c>
      <c r="AA1" s="4" t="s">
        <v>451</v>
      </c>
      <c r="AB1" s="4" t="s">
        <v>235</v>
      </c>
      <c r="AC1" s="4" t="s">
        <v>243</v>
      </c>
      <c r="AD1" s="4" t="s">
        <v>387</v>
      </c>
      <c r="AE1" s="4" t="s">
        <v>388</v>
      </c>
      <c r="AF1" s="4" t="s">
        <v>440</v>
      </c>
      <c r="AG1" s="4" t="s">
        <v>441</v>
      </c>
      <c r="AH1" s="4" t="s">
        <v>445</v>
      </c>
      <c r="AI1" s="4" t="s">
        <v>446</v>
      </c>
      <c r="AJ1" s="4" t="s">
        <v>449</v>
      </c>
      <c r="AK1" s="4" t="s">
        <v>391</v>
      </c>
      <c r="AL1" s="4" t="s">
        <v>400</v>
      </c>
      <c r="AM1" s="4" t="s">
        <v>401</v>
      </c>
      <c r="AN1" s="4" t="s">
        <v>402</v>
      </c>
      <c r="AO1" s="4" t="s">
        <v>403</v>
      </c>
      <c r="AP1" s="4" t="s">
        <v>404</v>
      </c>
      <c r="AQ1" s="4" t="s">
        <v>405</v>
      </c>
      <c r="AR1" s="4" t="s">
        <v>406</v>
      </c>
      <c r="AS1" s="4" t="s">
        <v>407</v>
      </c>
    </row>
    <row r="2" spans="1:45" x14ac:dyDescent="0.25">
      <c r="A2">
        <v>1</v>
      </c>
      <c r="B2" s="1" t="s">
        <v>408</v>
      </c>
      <c r="C2" s="10" t="e">
        <v>#N/A</v>
      </c>
      <c r="D2" s="10" t="e">
        <f>VLOOKUP(C2,[1]Sheet1!$A$2:$E$1223,2,0)&amp;", "&amp;VLOOKUP(C2,[1]Sheet1!$A$2:$E$1223,3,0)&amp;", "&amp;VLOOKUP(C2,[1]Sheet1!$A$2:$E$1223,5,0)</f>
        <v>#N/A</v>
      </c>
      <c r="E2" t="s">
        <v>354</v>
      </c>
      <c r="F2" t="s">
        <v>354</v>
      </c>
      <c r="G2" t="s">
        <v>730</v>
      </c>
      <c r="H2">
        <v>62990</v>
      </c>
      <c r="I2" t="e">
        <f>VLOOKUP(C2,[1]Sheet1!$A$2:$E$20000,5,0)</f>
        <v>#N/A</v>
      </c>
      <c r="J2" t="str">
        <f>VLOOKUP(B2,[2]AC!$B$2:$BA$100,44,0)</f>
        <v>A</v>
      </c>
      <c r="K2" s="2">
        <f>H2-(H2*0.18)</f>
        <v>51651.8</v>
      </c>
      <c r="L2" t="s">
        <v>73</v>
      </c>
      <c r="M2">
        <v>2</v>
      </c>
      <c r="N2">
        <v>3</v>
      </c>
      <c r="O2" t="s">
        <v>376</v>
      </c>
      <c r="P2" t="s">
        <v>103</v>
      </c>
      <c r="Q2" t="s">
        <v>377</v>
      </c>
      <c r="R2" t="s">
        <v>378</v>
      </c>
      <c r="S2" t="s">
        <v>379</v>
      </c>
      <c r="T2" t="s">
        <v>380</v>
      </c>
      <c r="U2" t="s">
        <v>381</v>
      </c>
      <c r="V2" t="s">
        <v>382</v>
      </c>
      <c r="W2" t="s">
        <v>383</v>
      </c>
      <c r="X2" t="s">
        <v>384</v>
      </c>
      <c r="Y2" t="s">
        <v>439</v>
      </c>
      <c r="AB2" t="s">
        <v>385</v>
      </c>
      <c r="AC2" t="s">
        <v>386</v>
      </c>
      <c r="AD2" t="s">
        <v>389</v>
      </c>
      <c r="AE2" t="s">
        <v>390</v>
      </c>
      <c r="AK2" t="s">
        <v>392</v>
      </c>
      <c r="AL2" t="s">
        <v>393</v>
      </c>
      <c r="AM2" t="s">
        <v>394</v>
      </c>
      <c r="AN2" t="s">
        <v>395</v>
      </c>
      <c r="AO2" t="s">
        <v>396</v>
      </c>
      <c r="AQ2" t="s">
        <v>398</v>
      </c>
      <c r="AR2" t="s">
        <v>399</v>
      </c>
      <c r="AS2" t="s">
        <v>83</v>
      </c>
    </row>
    <row r="3" spans="1:45" x14ac:dyDescent="0.25">
      <c r="A3">
        <v>2</v>
      </c>
      <c r="B3" s="1" t="s">
        <v>409</v>
      </c>
      <c r="C3" s="10">
        <v>8903287201127</v>
      </c>
      <c r="D3" s="10" t="str">
        <f>VLOOKUP(C3,[1]Sheet1!$A$2:$E$1223,2,0)&amp;", "&amp;VLOOKUP(C3,[1]Sheet1!$A$2:$E$1223,3,0)&amp;", "&amp;VLOOKUP(C3,[1]Sheet1!$A$2:$E$1223,5,0)</f>
        <v>SPLIT AC 2.0 T CI2433A323G3-IDU, ACMIU, 62990</v>
      </c>
      <c r="E3" t="s">
        <v>354</v>
      </c>
      <c r="F3" t="s">
        <v>354</v>
      </c>
      <c r="G3" t="s">
        <v>731</v>
      </c>
      <c r="H3">
        <v>62990</v>
      </c>
      <c r="I3">
        <f>VLOOKUP(C3,[1]Sheet1!$A$2:$E$20000,5,0)</f>
        <v>62990</v>
      </c>
      <c r="J3" t="str">
        <f>VLOOKUP(B3,[2]AC!$B$2:$BA$100,44,0)</f>
        <v>A</v>
      </c>
      <c r="K3" s="2">
        <f>H3-(H3*0.15)</f>
        <v>53541.5</v>
      </c>
      <c r="L3" t="s">
        <v>73</v>
      </c>
      <c r="M3">
        <v>2</v>
      </c>
      <c r="N3">
        <v>3</v>
      </c>
      <c r="O3" t="s">
        <v>376</v>
      </c>
      <c r="P3" t="s">
        <v>103</v>
      </c>
      <c r="Q3" t="s">
        <v>377</v>
      </c>
      <c r="R3" t="s">
        <v>378</v>
      </c>
      <c r="T3" t="s">
        <v>380</v>
      </c>
      <c r="U3" t="s">
        <v>381</v>
      </c>
      <c r="V3" t="s">
        <v>382</v>
      </c>
      <c r="W3" t="s">
        <v>383</v>
      </c>
      <c r="X3" t="s">
        <v>384</v>
      </c>
      <c r="Y3" t="s">
        <v>439</v>
      </c>
      <c r="AA3" t="s">
        <v>452</v>
      </c>
      <c r="AB3" t="s">
        <v>385</v>
      </c>
      <c r="AC3" t="s">
        <v>386</v>
      </c>
      <c r="AD3" t="s">
        <v>389</v>
      </c>
      <c r="AE3" t="s">
        <v>390</v>
      </c>
      <c r="AF3" t="s">
        <v>442</v>
      </c>
      <c r="AG3" t="s">
        <v>443</v>
      </c>
      <c r="AK3" t="s">
        <v>392</v>
      </c>
      <c r="AL3" t="s">
        <v>393</v>
      </c>
      <c r="AM3" t="s">
        <v>394</v>
      </c>
      <c r="AN3" t="s">
        <v>395</v>
      </c>
      <c r="AO3" t="s">
        <v>396</v>
      </c>
      <c r="AQ3" t="s">
        <v>398</v>
      </c>
      <c r="AR3" t="s">
        <v>399</v>
      </c>
      <c r="AS3" t="s">
        <v>83</v>
      </c>
    </row>
    <row r="4" spans="1:45" x14ac:dyDescent="0.25">
      <c r="A4">
        <v>3</v>
      </c>
      <c r="B4" s="1" t="s">
        <v>410</v>
      </c>
      <c r="C4" s="10">
        <v>8903287206719</v>
      </c>
      <c r="D4" s="10" t="str">
        <f>VLOOKUP(C4,[1]Sheet1!$A$2:$E$1223,2,0)&amp;", "&amp;VLOOKUP(C4,[1]Sheet1!$A$2:$E$1223,3,0)&amp;", "&amp;VLOOKUP(C4,[1]Sheet1!$A$2:$E$1223,5,0)</f>
        <v>SPLIT AC 1.5T CI1852D223GN1-IDU, ACMIU, 71990</v>
      </c>
      <c r="E4" t="s">
        <v>354</v>
      </c>
      <c r="F4" t="s">
        <v>354</v>
      </c>
      <c r="G4" t="s">
        <v>732</v>
      </c>
      <c r="H4">
        <v>71990</v>
      </c>
      <c r="I4">
        <f>VLOOKUP(C4,[1]Sheet1!$A$2:$E$20000,5,0)</f>
        <v>71990</v>
      </c>
      <c r="J4" t="str">
        <f>VLOOKUP(B4,[2]AC!$B$2:$BA$100,44,0)</f>
        <v>A+</v>
      </c>
      <c r="K4" s="2">
        <f t="shared" ref="K4:K32" si="0">H4-(H4*0.4)</f>
        <v>43194</v>
      </c>
      <c r="L4" t="s">
        <v>73</v>
      </c>
      <c r="M4">
        <v>1.5</v>
      </c>
      <c r="N4">
        <v>5</v>
      </c>
      <c r="O4" t="s">
        <v>376</v>
      </c>
      <c r="P4" t="s">
        <v>103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382</v>
      </c>
      <c r="W4" t="s">
        <v>383</v>
      </c>
      <c r="X4" t="s">
        <v>384</v>
      </c>
      <c r="Y4" t="s">
        <v>439</v>
      </c>
      <c r="AB4" t="s">
        <v>385</v>
      </c>
      <c r="AC4" t="s">
        <v>386</v>
      </c>
      <c r="AD4" t="s">
        <v>389</v>
      </c>
      <c r="AE4" t="s">
        <v>390</v>
      </c>
      <c r="AK4" t="s">
        <v>392</v>
      </c>
      <c r="AL4" t="s">
        <v>393</v>
      </c>
      <c r="AM4" t="s">
        <v>394</v>
      </c>
      <c r="AN4" t="s">
        <v>395</v>
      </c>
      <c r="AO4" t="s">
        <v>396</v>
      </c>
      <c r="AQ4" t="s">
        <v>398</v>
      </c>
      <c r="AR4" t="s">
        <v>399</v>
      </c>
    </row>
    <row r="5" spans="1:45" x14ac:dyDescent="0.25">
      <c r="A5">
        <v>4</v>
      </c>
      <c r="B5" s="1" t="s">
        <v>411</v>
      </c>
      <c r="C5" s="10" t="e">
        <v>#N/A</v>
      </c>
      <c r="D5" s="10" t="e">
        <f>VLOOKUP(C5,[1]Sheet1!$A$2:$E$1223,2,0)&amp;", "&amp;VLOOKUP(C5,[1]Sheet1!$A$2:$E$1223,3,0)&amp;", "&amp;VLOOKUP(C5,[1]Sheet1!$A$2:$E$1223,5,0)</f>
        <v>#N/A</v>
      </c>
      <c r="E5" t="s">
        <v>354</v>
      </c>
      <c r="F5" t="s">
        <v>354</v>
      </c>
      <c r="G5" t="s">
        <v>733</v>
      </c>
      <c r="H5">
        <v>63490</v>
      </c>
      <c r="I5" t="e">
        <f>VLOOKUP(C5,[1]Sheet1!$A$2:$E$20000,5,0)</f>
        <v>#N/A</v>
      </c>
      <c r="J5" t="str">
        <f>VLOOKUP(B5,[2]AC!$B$2:$BA$100,44,0)</f>
        <v>A</v>
      </c>
      <c r="K5" s="2">
        <f>H5-(H5*0.18)</f>
        <v>52061.8</v>
      </c>
      <c r="L5" t="s">
        <v>73</v>
      </c>
      <c r="M5">
        <v>1.5</v>
      </c>
      <c r="N5">
        <v>3</v>
      </c>
      <c r="O5" t="s">
        <v>376</v>
      </c>
      <c r="P5" t="s">
        <v>103</v>
      </c>
      <c r="Q5" t="s">
        <v>377</v>
      </c>
      <c r="R5" t="s">
        <v>378</v>
      </c>
      <c r="S5" t="s">
        <v>379</v>
      </c>
      <c r="T5" t="s">
        <v>380</v>
      </c>
      <c r="U5" t="s">
        <v>381</v>
      </c>
      <c r="V5" t="s">
        <v>382</v>
      </c>
      <c r="W5" t="s">
        <v>383</v>
      </c>
      <c r="X5" t="s">
        <v>384</v>
      </c>
      <c r="Y5" t="s">
        <v>439</v>
      </c>
      <c r="Z5" t="s">
        <v>444</v>
      </c>
      <c r="AB5" t="s">
        <v>385</v>
      </c>
      <c r="AC5" t="s">
        <v>386</v>
      </c>
      <c r="AD5" t="s">
        <v>389</v>
      </c>
      <c r="AE5" t="s">
        <v>390</v>
      </c>
      <c r="AF5" t="s">
        <v>442</v>
      </c>
      <c r="AG5" t="s">
        <v>443</v>
      </c>
      <c r="AH5" t="s">
        <v>447</v>
      </c>
      <c r="AI5" t="s">
        <v>448</v>
      </c>
      <c r="AJ5" t="s">
        <v>450</v>
      </c>
      <c r="AK5" t="s">
        <v>392</v>
      </c>
      <c r="AL5" t="s">
        <v>393</v>
      </c>
      <c r="AM5" t="s">
        <v>394</v>
      </c>
      <c r="AN5" t="s">
        <v>395</v>
      </c>
      <c r="AO5" t="s">
        <v>396</v>
      </c>
      <c r="AQ5" t="s">
        <v>398</v>
      </c>
      <c r="AR5" t="s">
        <v>399</v>
      </c>
      <c r="AS5" t="s">
        <v>83</v>
      </c>
    </row>
    <row r="6" spans="1:45" x14ac:dyDescent="0.25">
      <c r="A6">
        <v>5</v>
      </c>
      <c r="B6" s="1" t="s">
        <v>412</v>
      </c>
      <c r="C6" s="6">
        <v>8903287207037</v>
      </c>
      <c r="D6" s="10" t="str">
        <f>VLOOKUP(C6,[1]Sheet1!$A$2:$E$1223,2,0)&amp;", "&amp;VLOOKUP(C6,[1]Sheet1!$A$2:$E$1223,3,0)&amp;", "&amp;VLOOKUP(C6,[1]Sheet1!$A$2:$E$1223,5,0)</f>
        <v>SPLIT AC 1.5 T 5S CI1853E223GN1  - IDU, ACMIU, 22490</v>
      </c>
      <c r="E6" t="s">
        <v>354</v>
      </c>
      <c r="F6" t="s">
        <v>354</v>
      </c>
      <c r="G6" t="s">
        <v>734</v>
      </c>
      <c r="H6">
        <v>74990</v>
      </c>
      <c r="I6">
        <f>VLOOKUP(C6,[1]Sheet1!$A$2:$E$20000,5,0)</f>
        <v>22490</v>
      </c>
      <c r="J6" t="str">
        <f>VLOOKUP(B6,[2]AC!$B$2:$BA$100,44,0)</f>
        <v>A+</v>
      </c>
      <c r="K6" s="2">
        <f t="shared" si="0"/>
        <v>44994</v>
      </c>
      <c r="L6" t="s">
        <v>73</v>
      </c>
      <c r="M6">
        <v>1.5</v>
      </c>
      <c r="N6">
        <v>5</v>
      </c>
      <c r="O6" t="s">
        <v>376</v>
      </c>
      <c r="P6" t="s">
        <v>103</v>
      </c>
      <c r="Q6" t="s">
        <v>377</v>
      </c>
      <c r="R6" t="s">
        <v>378</v>
      </c>
      <c r="S6" t="s">
        <v>379</v>
      </c>
      <c r="T6" t="s">
        <v>380</v>
      </c>
      <c r="U6" t="s">
        <v>381</v>
      </c>
      <c r="V6" t="s">
        <v>382</v>
      </c>
      <c r="W6" t="s">
        <v>383</v>
      </c>
      <c r="X6" t="s">
        <v>384</v>
      </c>
      <c r="Y6" t="s">
        <v>439</v>
      </c>
      <c r="AA6" t="s">
        <v>452</v>
      </c>
      <c r="AB6" t="s">
        <v>385</v>
      </c>
      <c r="AC6" t="s">
        <v>386</v>
      </c>
      <c r="AD6" t="s">
        <v>389</v>
      </c>
      <c r="AE6" t="s">
        <v>390</v>
      </c>
      <c r="AK6" t="s">
        <v>392</v>
      </c>
      <c r="AL6" t="s">
        <v>393</v>
      </c>
      <c r="AM6" t="s">
        <v>394</v>
      </c>
      <c r="AN6" t="s">
        <v>395</v>
      </c>
      <c r="AO6" t="s">
        <v>396</v>
      </c>
      <c r="AQ6" t="s">
        <v>398</v>
      </c>
      <c r="AR6" t="s">
        <v>399</v>
      </c>
    </row>
    <row r="7" spans="1:45" x14ac:dyDescent="0.25">
      <c r="A7">
        <v>6</v>
      </c>
      <c r="B7" s="1" t="s">
        <v>413</v>
      </c>
      <c r="C7" s="10">
        <v>8903287200984</v>
      </c>
      <c r="D7" s="10" t="str">
        <f>VLOOKUP(C7,[1]Sheet1!$A$2:$E$1223,2,0)&amp;", "&amp;VLOOKUP(C7,[1]Sheet1!$A$2:$E$1223,3,0)&amp;", "&amp;VLOOKUP(C7,[1]Sheet1!$A$2:$E$1223,5,0)</f>
        <v>SPLIT AC 2.0 T CI2432D323G3-IDU, ACMIU, 62990</v>
      </c>
      <c r="E7" t="s">
        <v>354</v>
      </c>
      <c r="F7" t="s">
        <v>354</v>
      </c>
      <c r="G7" t="s">
        <v>735</v>
      </c>
      <c r="H7">
        <v>62990</v>
      </c>
      <c r="I7">
        <f>VLOOKUP(C7,[1]Sheet1!$A$2:$E$20000,5,0)</f>
        <v>62990</v>
      </c>
      <c r="J7" t="str">
        <f>VLOOKUP(B7,[2]AC!$B$2:$BA$100,44,0)</f>
        <v>A</v>
      </c>
      <c r="K7" s="2">
        <f>H7-(H7*0.15)</f>
        <v>53541.5</v>
      </c>
      <c r="L7" t="s">
        <v>73</v>
      </c>
      <c r="M7">
        <v>2</v>
      </c>
      <c r="N7">
        <v>3</v>
      </c>
      <c r="O7" t="s">
        <v>376</v>
      </c>
      <c r="P7" t="s">
        <v>103</v>
      </c>
      <c r="Q7" t="s">
        <v>377</v>
      </c>
      <c r="R7" t="s">
        <v>378</v>
      </c>
      <c r="T7" t="s">
        <v>380</v>
      </c>
      <c r="U7" t="s">
        <v>381</v>
      </c>
      <c r="V7" t="s">
        <v>382</v>
      </c>
      <c r="W7" t="s">
        <v>383</v>
      </c>
      <c r="X7" t="s">
        <v>384</v>
      </c>
      <c r="Y7" t="s">
        <v>439</v>
      </c>
      <c r="AA7" t="s">
        <v>452</v>
      </c>
      <c r="AB7" t="s">
        <v>385</v>
      </c>
      <c r="AC7" t="s">
        <v>386</v>
      </c>
      <c r="AD7" t="s">
        <v>389</v>
      </c>
      <c r="AE7" t="s">
        <v>390</v>
      </c>
      <c r="AF7" t="s">
        <v>442</v>
      </c>
      <c r="AG7" t="s">
        <v>443</v>
      </c>
      <c r="AK7" t="s">
        <v>392</v>
      </c>
      <c r="AL7" t="s">
        <v>393</v>
      </c>
      <c r="AM7" t="s">
        <v>394</v>
      </c>
      <c r="AN7" t="s">
        <v>395</v>
      </c>
      <c r="AO7" t="s">
        <v>396</v>
      </c>
      <c r="AQ7" t="s">
        <v>398</v>
      </c>
      <c r="AR7" t="s">
        <v>399</v>
      </c>
      <c r="AS7" t="s">
        <v>83</v>
      </c>
    </row>
    <row r="8" spans="1:45" x14ac:dyDescent="0.25">
      <c r="A8">
        <v>7</v>
      </c>
      <c r="B8" s="1" t="s">
        <v>414</v>
      </c>
      <c r="C8" s="10">
        <v>8903287201929</v>
      </c>
      <c r="D8" s="10" t="str">
        <f>VLOOKUP(C8,[1]Sheet1!$A$2:$E$1223,2,0)&amp;", "&amp;VLOOKUP(C8,[1]Sheet1!$A$2:$E$1223,3,0)&amp;", "&amp;VLOOKUP(C8,[1]Sheet1!$A$2:$E$1223,5,0)</f>
        <v>SPLIT AC 2.0 T CI2431G323G3-IDU, ACMIU, 63490</v>
      </c>
      <c r="E8" t="s">
        <v>354</v>
      </c>
      <c r="F8" t="s">
        <v>354</v>
      </c>
      <c r="G8" t="s">
        <v>736</v>
      </c>
      <c r="H8">
        <v>63490</v>
      </c>
      <c r="I8">
        <f>VLOOKUP(C8,[1]Sheet1!$A$2:$E$20000,5,0)</f>
        <v>63490</v>
      </c>
      <c r="J8" t="str">
        <f>VLOOKUP(B8,[2]AC!$B$2:$BA$100,44,0)</f>
        <v>A</v>
      </c>
      <c r="K8" s="2">
        <f>H8-(H8*0.15)</f>
        <v>53966.5</v>
      </c>
      <c r="L8" t="s">
        <v>73</v>
      </c>
      <c r="M8">
        <v>2</v>
      </c>
      <c r="N8">
        <v>3</v>
      </c>
      <c r="O8" t="s">
        <v>376</v>
      </c>
      <c r="P8" t="s">
        <v>103</v>
      </c>
      <c r="Q8" t="s">
        <v>377</v>
      </c>
      <c r="R8" t="s">
        <v>378</v>
      </c>
      <c r="T8" t="s">
        <v>380</v>
      </c>
      <c r="U8" t="s">
        <v>381</v>
      </c>
      <c r="V8" t="s">
        <v>382</v>
      </c>
      <c r="W8" t="s">
        <v>383</v>
      </c>
      <c r="X8" t="s">
        <v>384</v>
      </c>
      <c r="Y8" t="s">
        <v>439</v>
      </c>
      <c r="Z8" t="s">
        <v>444</v>
      </c>
      <c r="AA8" t="s">
        <v>452</v>
      </c>
      <c r="AB8" t="s">
        <v>385</v>
      </c>
      <c r="AC8" t="s">
        <v>386</v>
      </c>
      <c r="AD8" t="s">
        <v>389</v>
      </c>
      <c r="AE8" t="s">
        <v>390</v>
      </c>
      <c r="AF8" t="s">
        <v>442</v>
      </c>
      <c r="AG8" t="s">
        <v>443</v>
      </c>
      <c r="AH8" t="s">
        <v>447</v>
      </c>
      <c r="AI8" t="s">
        <v>448</v>
      </c>
      <c r="AJ8" t="s">
        <v>450</v>
      </c>
      <c r="AK8" t="s">
        <v>392</v>
      </c>
      <c r="AL8" t="s">
        <v>393</v>
      </c>
      <c r="AM8" t="s">
        <v>394</v>
      </c>
      <c r="AN8" t="s">
        <v>395</v>
      </c>
      <c r="AO8" t="s">
        <v>396</v>
      </c>
      <c r="AQ8" t="s">
        <v>398</v>
      </c>
      <c r="AR8" t="s">
        <v>399</v>
      </c>
      <c r="AS8" t="s">
        <v>83</v>
      </c>
    </row>
    <row r="9" spans="1:45" x14ac:dyDescent="0.25">
      <c r="A9">
        <v>8</v>
      </c>
      <c r="B9" s="1" t="s">
        <v>415</v>
      </c>
      <c r="C9" s="6">
        <v>8903287207488</v>
      </c>
      <c r="D9" s="10" t="str">
        <f>VLOOKUP(C9,[1]Sheet1!$A$2:$E$1223,2,0)&amp;", "&amp;VLOOKUP(C9,[1]Sheet1!$A$2:$E$1223,3,0)&amp;", "&amp;VLOOKUP(C9,[1]Sheet1!$A$2:$E$1223,5,0)</f>
        <v>SPLIT AC 1.0 T CI1332A113GN1 IDU, ACMIU, 15890</v>
      </c>
      <c r="E9" t="s">
        <v>354</v>
      </c>
      <c r="F9" t="s">
        <v>354</v>
      </c>
      <c r="G9" t="s">
        <v>737</v>
      </c>
      <c r="H9">
        <v>52990</v>
      </c>
      <c r="I9">
        <f>VLOOKUP(C9,[1]Sheet1!$A$2:$E$20000,5,0)</f>
        <v>15890</v>
      </c>
      <c r="J9" t="str">
        <f>VLOOKUP(B9,[2]AC!$B$2:$BA$100,44,0)</f>
        <v>C</v>
      </c>
      <c r="K9" s="2">
        <f t="shared" si="0"/>
        <v>31794</v>
      </c>
      <c r="L9" t="s">
        <v>73</v>
      </c>
      <c r="M9">
        <v>1</v>
      </c>
      <c r="N9">
        <v>3</v>
      </c>
      <c r="O9" t="s">
        <v>376</v>
      </c>
      <c r="P9" t="s">
        <v>103</v>
      </c>
      <c r="Q9" t="s">
        <v>377</v>
      </c>
      <c r="R9" t="s">
        <v>378</v>
      </c>
      <c r="S9" t="s">
        <v>379</v>
      </c>
      <c r="T9" t="s">
        <v>380</v>
      </c>
      <c r="U9" t="s">
        <v>381</v>
      </c>
      <c r="V9" t="s">
        <v>382</v>
      </c>
      <c r="W9" t="s">
        <v>383</v>
      </c>
      <c r="X9" t="s">
        <v>384</v>
      </c>
      <c r="Y9" t="s">
        <v>439</v>
      </c>
      <c r="AB9" t="s">
        <v>385</v>
      </c>
      <c r="AC9" t="s">
        <v>386</v>
      </c>
      <c r="AD9" t="s">
        <v>389</v>
      </c>
      <c r="AE9" t="s">
        <v>390</v>
      </c>
      <c r="AK9" t="s">
        <v>392</v>
      </c>
      <c r="AL9" t="s">
        <v>393</v>
      </c>
      <c r="AM9" t="s">
        <v>394</v>
      </c>
      <c r="AN9" t="s">
        <v>395</v>
      </c>
      <c r="AO9" t="s">
        <v>396</v>
      </c>
      <c r="AQ9" t="s">
        <v>398</v>
      </c>
      <c r="AR9" t="s">
        <v>399</v>
      </c>
    </row>
    <row r="10" spans="1:45" x14ac:dyDescent="0.25">
      <c r="A10">
        <v>9</v>
      </c>
      <c r="B10" s="1" t="s">
        <v>416</v>
      </c>
      <c r="C10" s="6">
        <v>8903287207761</v>
      </c>
      <c r="D10" s="10" t="str">
        <f>VLOOKUP(C10,[1]Sheet1!$A$2:$E$1223,2,0)&amp;", "&amp;VLOOKUP(C10,[1]Sheet1!$A$2:$E$1223,3,0)&amp;", "&amp;VLOOKUP(C10,[1]Sheet1!$A$2:$E$1223,5,0)</f>
        <v>SPLIT AC 2.0 T 3S CI2433A323G4  - IDU, ACMIU, 24890</v>
      </c>
      <c r="E10" t="s">
        <v>354</v>
      </c>
      <c r="F10" t="s">
        <v>354</v>
      </c>
      <c r="G10" t="s">
        <v>738</v>
      </c>
      <c r="H10">
        <v>82990</v>
      </c>
      <c r="I10">
        <f>VLOOKUP(C10,[1]Sheet1!$A$2:$E$20000,5,0)</f>
        <v>24890</v>
      </c>
      <c r="J10" t="str">
        <f>VLOOKUP(B10,[2]AC!$B$2:$BA$100,44,0)</f>
        <v>A++</v>
      </c>
      <c r="K10" s="2">
        <f t="shared" si="0"/>
        <v>49794</v>
      </c>
      <c r="L10" t="s">
        <v>73</v>
      </c>
      <c r="M10">
        <v>2</v>
      </c>
      <c r="N10">
        <v>3</v>
      </c>
      <c r="O10" t="s">
        <v>376</v>
      </c>
      <c r="P10" t="s">
        <v>103</v>
      </c>
      <c r="Q10" t="s">
        <v>377</v>
      </c>
      <c r="R10" t="s">
        <v>378</v>
      </c>
      <c r="S10" t="s">
        <v>379</v>
      </c>
      <c r="T10" t="s">
        <v>380</v>
      </c>
      <c r="U10" t="s">
        <v>381</v>
      </c>
      <c r="V10" t="s">
        <v>382</v>
      </c>
      <c r="W10" t="s">
        <v>383</v>
      </c>
      <c r="X10" t="s">
        <v>384</v>
      </c>
      <c r="Y10" t="s">
        <v>439</v>
      </c>
      <c r="AA10" t="s">
        <v>452</v>
      </c>
      <c r="AB10" t="s">
        <v>385</v>
      </c>
      <c r="AC10" t="s">
        <v>386</v>
      </c>
      <c r="AD10" t="s">
        <v>389</v>
      </c>
      <c r="AE10" t="s">
        <v>390</v>
      </c>
      <c r="AK10" t="s">
        <v>392</v>
      </c>
      <c r="AL10" t="s">
        <v>393</v>
      </c>
      <c r="AM10" t="s">
        <v>394</v>
      </c>
      <c r="AN10" t="s">
        <v>395</v>
      </c>
      <c r="AO10" t="s">
        <v>396</v>
      </c>
      <c r="AQ10" t="s">
        <v>398</v>
      </c>
      <c r="AR10" t="s">
        <v>399</v>
      </c>
    </row>
    <row r="11" spans="1:45" x14ac:dyDescent="0.25">
      <c r="A11">
        <v>10</v>
      </c>
      <c r="B11" s="1" t="s">
        <v>417</v>
      </c>
      <c r="C11" s="6">
        <v>8903287207662</v>
      </c>
      <c r="D11" s="10" t="str">
        <f>VLOOKUP(C11,[1]Sheet1!$A$2:$E$1223,2,0)&amp;", "&amp;VLOOKUP(C11,[1]Sheet1!$A$2:$E$1223,3,0)&amp;", "&amp;VLOOKUP(C11,[1]Sheet1!$A$2:$E$1223,5,0)</f>
        <v>SPLIT AC 2.0 T 3S CI2432D323G4  - IDU, ACMIU, 23990</v>
      </c>
      <c r="E11" t="s">
        <v>354</v>
      </c>
      <c r="F11" t="s">
        <v>354</v>
      </c>
      <c r="G11" t="s">
        <v>739</v>
      </c>
      <c r="H11">
        <v>79990</v>
      </c>
      <c r="I11">
        <f>VLOOKUP(C11,[1]Sheet1!$A$2:$E$20000,5,0)</f>
        <v>23990</v>
      </c>
      <c r="J11" t="str">
        <f>VLOOKUP(B11,[2]AC!$B$2:$BA$100,44,0)</f>
        <v>A++</v>
      </c>
      <c r="K11" s="2">
        <f t="shared" si="0"/>
        <v>47994</v>
      </c>
      <c r="L11" t="s">
        <v>73</v>
      </c>
      <c r="M11">
        <v>2</v>
      </c>
      <c r="N11">
        <v>3</v>
      </c>
      <c r="O11" t="s">
        <v>376</v>
      </c>
      <c r="P11" t="s">
        <v>103</v>
      </c>
      <c r="Q11" t="s">
        <v>377</v>
      </c>
      <c r="R11" t="s">
        <v>378</v>
      </c>
      <c r="S11" t="s">
        <v>379</v>
      </c>
      <c r="T11" t="s">
        <v>380</v>
      </c>
      <c r="U11" t="s">
        <v>381</v>
      </c>
      <c r="V11" t="s">
        <v>382</v>
      </c>
      <c r="W11" t="s">
        <v>383</v>
      </c>
      <c r="X11" t="s">
        <v>384</v>
      </c>
      <c r="Y11" t="s">
        <v>439</v>
      </c>
      <c r="AB11" t="s">
        <v>385</v>
      </c>
      <c r="AC11" t="s">
        <v>386</v>
      </c>
      <c r="AD11" t="s">
        <v>389</v>
      </c>
      <c r="AE11" t="s">
        <v>390</v>
      </c>
      <c r="AK11" t="s">
        <v>392</v>
      </c>
      <c r="AL11" t="s">
        <v>393</v>
      </c>
      <c r="AM11" t="s">
        <v>394</v>
      </c>
      <c r="AN11" t="s">
        <v>395</v>
      </c>
      <c r="AO11" t="s">
        <v>396</v>
      </c>
      <c r="AQ11" t="s">
        <v>398</v>
      </c>
      <c r="AR11" t="s">
        <v>399</v>
      </c>
    </row>
    <row r="12" spans="1:45" x14ac:dyDescent="0.25">
      <c r="A12">
        <v>11</v>
      </c>
      <c r="B12" s="1" t="s">
        <v>418</v>
      </c>
      <c r="C12" s="6">
        <v>8903287207624</v>
      </c>
      <c r="D12" s="10" t="str">
        <f>VLOOKUP(C12,[1]Sheet1!$A$2:$E$1223,2,0)&amp;", "&amp;VLOOKUP(C12,[1]Sheet1!$A$2:$E$1223,3,0)&amp;", "&amp;VLOOKUP(C12,[1]Sheet1!$A$2:$E$1223,5,0)</f>
        <v>SPLIT AC 2.0 T 3S CI2431G323G4  - IDU, ACMIU, 24140</v>
      </c>
      <c r="E12" t="s">
        <v>354</v>
      </c>
      <c r="F12" t="s">
        <v>354</v>
      </c>
      <c r="G12" t="s">
        <v>740</v>
      </c>
      <c r="H12">
        <v>80490</v>
      </c>
      <c r="I12">
        <f>VLOOKUP(C12,[1]Sheet1!$A$2:$E$20000,5,0)</f>
        <v>24140</v>
      </c>
      <c r="J12" t="str">
        <f>VLOOKUP(B12,[2]AC!$B$2:$BA$100,44,0)</f>
        <v>A++</v>
      </c>
      <c r="K12" s="2">
        <f t="shared" si="0"/>
        <v>48294</v>
      </c>
      <c r="L12" t="s">
        <v>73</v>
      </c>
      <c r="M12">
        <v>2</v>
      </c>
      <c r="N12">
        <v>3</v>
      </c>
      <c r="O12" t="s">
        <v>376</v>
      </c>
      <c r="P12" t="s">
        <v>103</v>
      </c>
      <c r="Q12" t="s">
        <v>377</v>
      </c>
      <c r="R12" t="s">
        <v>378</v>
      </c>
      <c r="S12" t="s">
        <v>379</v>
      </c>
      <c r="T12" t="s">
        <v>380</v>
      </c>
      <c r="U12" t="s">
        <v>381</v>
      </c>
      <c r="V12" t="s">
        <v>382</v>
      </c>
      <c r="W12" t="s">
        <v>383</v>
      </c>
      <c r="X12" t="s">
        <v>384</v>
      </c>
      <c r="Y12" t="s">
        <v>439</v>
      </c>
      <c r="Z12" t="s">
        <v>444</v>
      </c>
      <c r="AB12" t="s">
        <v>385</v>
      </c>
      <c r="AC12" t="s">
        <v>386</v>
      </c>
      <c r="AD12" t="s">
        <v>389</v>
      </c>
      <c r="AE12" t="s">
        <v>390</v>
      </c>
      <c r="AF12" t="s">
        <v>442</v>
      </c>
      <c r="AG12" t="s">
        <v>443</v>
      </c>
      <c r="AH12" t="s">
        <v>447</v>
      </c>
      <c r="AI12" t="s">
        <v>448</v>
      </c>
      <c r="AJ12" t="s">
        <v>450</v>
      </c>
      <c r="AK12" t="s">
        <v>392</v>
      </c>
      <c r="AL12" t="s">
        <v>393</v>
      </c>
      <c r="AM12" t="s">
        <v>394</v>
      </c>
      <c r="AN12" t="s">
        <v>395</v>
      </c>
      <c r="AO12" t="s">
        <v>396</v>
      </c>
      <c r="AQ12" t="s">
        <v>398</v>
      </c>
      <c r="AR12" t="s">
        <v>399</v>
      </c>
    </row>
    <row r="13" spans="1:45" x14ac:dyDescent="0.25">
      <c r="A13">
        <v>12</v>
      </c>
      <c r="B13" s="1" t="s">
        <v>419</v>
      </c>
      <c r="C13" s="6">
        <v>8903287207723</v>
      </c>
      <c r="D13" s="10" t="str">
        <f>VLOOKUP(C13,[1]Sheet1!$A$2:$E$1223,2,0)&amp;", "&amp;VLOOKUP(C13,[1]Sheet1!$A$2:$E$1223,3,0)&amp;", "&amp;VLOOKUP(C13,[1]Sheet1!$A$2:$E$1223,5,0)</f>
        <v>SPLIT AC 2.0 T 3S CI2433F323G4  - IDU, ACMIU, 25040</v>
      </c>
      <c r="E13" t="s">
        <v>354</v>
      </c>
      <c r="F13" t="s">
        <v>354</v>
      </c>
      <c r="G13" t="s">
        <v>741</v>
      </c>
      <c r="H13">
        <v>83490</v>
      </c>
      <c r="I13">
        <f>VLOOKUP(C13,[1]Sheet1!$A$2:$E$20000,5,0)</f>
        <v>25040</v>
      </c>
      <c r="J13" t="str">
        <f>VLOOKUP(B13,[2]AC!$B$2:$BA$100,44,0)</f>
        <v>A++</v>
      </c>
      <c r="K13" s="2">
        <f t="shared" si="0"/>
        <v>50094</v>
      </c>
      <c r="L13" t="s">
        <v>73</v>
      </c>
      <c r="M13">
        <v>2</v>
      </c>
      <c r="N13">
        <v>3</v>
      </c>
      <c r="O13" t="s">
        <v>376</v>
      </c>
      <c r="P13" t="s">
        <v>103</v>
      </c>
      <c r="Q13" t="s">
        <v>377</v>
      </c>
      <c r="R13" t="s">
        <v>378</v>
      </c>
      <c r="S13" t="s">
        <v>379</v>
      </c>
      <c r="T13" t="s">
        <v>380</v>
      </c>
      <c r="U13" t="s">
        <v>381</v>
      </c>
      <c r="V13" t="s">
        <v>382</v>
      </c>
      <c r="W13" t="s">
        <v>383</v>
      </c>
      <c r="X13" t="s">
        <v>384</v>
      </c>
      <c r="Y13" t="s">
        <v>439</v>
      </c>
      <c r="Z13" t="s">
        <v>444</v>
      </c>
      <c r="AA13" t="s">
        <v>452</v>
      </c>
      <c r="AB13" t="s">
        <v>385</v>
      </c>
      <c r="AC13" t="s">
        <v>386</v>
      </c>
      <c r="AD13" t="s">
        <v>389</v>
      </c>
      <c r="AE13" t="s">
        <v>390</v>
      </c>
      <c r="AF13" t="s">
        <v>442</v>
      </c>
      <c r="AG13" t="s">
        <v>443</v>
      </c>
      <c r="AH13" t="s">
        <v>447</v>
      </c>
      <c r="AI13" t="s">
        <v>448</v>
      </c>
      <c r="AJ13" t="s">
        <v>450</v>
      </c>
      <c r="AK13" t="s">
        <v>392</v>
      </c>
      <c r="AL13" t="s">
        <v>393</v>
      </c>
      <c r="AM13" t="s">
        <v>394</v>
      </c>
      <c r="AN13" t="s">
        <v>395</v>
      </c>
      <c r="AO13" t="s">
        <v>396</v>
      </c>
      <c r="AQ13" t="s">
        <v>398</v>
      </c>
      <c r="AR13" t="s">
        <v>399</v>
      </c>
    </row>
    <row r="14" spans="1:45" x14ac:dyDescent="0.25">
      <c r="A14">
        <v>13</v>
      </c>
      <c r="B14" s="1" t="s">
        <v>420</v>
      </c>
      <c r="C14" s="6">
        <v>8903287207587</v>
      </c>
      <c r="D14" s="10" t="str">
        <f>VLOOKUP(C14,[1]Sheet1!$A$2:$E$1223,2,0)&amp;", "&amp;VLOOKUP(C14,[1]Sheet1!$A$2:$E$1223,3,0)&amp;", "&amp;VLOOKUP(C14,[1]Sheet1!$A$2:$E$1223,5,0)</f>
        <v>SPLIT AC 1.0 T 5S CI1451G213GN1  - IDU, ACMIU, 19040</v>
      </c>
      <c r="E14" t="s">
        <v>354</v>
      </c>
      <c r="F14" t="s">
        <v>354</v>
      </c>
      <c r="G14" t="s">
        <v>742</v>
      </c>
      <c r="H14">
        <v>63490</v>
      </c>
      <c r="I14">
        <f>VLOOKUP(C14,[1]Sheet1!$A$2:$E$20000,5,0)</f>
        <v>19040</v>
      </c>
      <c r="J14" t="str">
        <f>VLOOKUP(B14,[2]AC!$B$2:$BA$100,44,0)</f>
        <v>A</v>
      </c>
      <c r="K14" s="2">
        <f t="shared" si="0"/>
        <v>38094</v>
      </c>
      <c r="L14" t="s">
        <v>73</v>
      </c>
      <c r="M14">
        <v>1</v>
      </c>
      <c r="N14">
        <v>5</v>
      </c>
      <c r="O14" t="s">
        <v>376</v>
      </c>
      <c r="P14" t="s">
        <v>103</v>
      </c>
      <c r="Q14" t="s">
        <v>377</v>
      </c>
      <c r="R14" t="s">
        <v>378</v>
      </c>
      <c r="S14" t="s">
        <v>379</v>
      </c>
      <c r="T14" t="s">
        <v>380</v>
      </c>
      <c r="U14" t="s">
        <v>381</v>
      </c>
      <c r="V14" t="s">
        <v>382</v>
      </c>
      <c r="W14" t="s">
        <v>383</v>
      </c>
      <c r="X14" t="s">
        <v>384</v>
      </c>
      <c r="Y14" t="s">
        <v>439</v>
      </c>
      <c r="Z14" t="s">
        <v>444</v>
      </c>
      <c r="AB14" t="s">
        <v>385</v>
      </c>
      <c r="AC14" t="s">
        <v>386</v>
      </c>
      <c r="AD14" t="s">
        <v>389</v>
      </c>
      <c r="AE14" t="s">
        <v>390</v>
      </c>
      <c r="AF14" t="s">
        <v>442</v>
      </c>
      <c r="AG14" t="s">
        <v>443</v>
      </c>
      <c r="AH14" t="s">
        <v>447</v>
      </c>
      <c r="AI14" t="s">
        <v>448</v>
      </c>
      <c r="AJ14" t="s">
        <v>450</v>
      </c>
      <c r="AK14" t="s">
        <v>392</v>
      </c>
      <c r="AL14" t="s">
        <v>393</v>
      </c>
      <c r="AM14" t="s">
        <v>394</v>
      </c>
      <c r="AN14" t="s">
        <v>395</v>
      </c>
      <c r="AO14" t="s">
        <v>396</v>
      </c>
      <c r="AQ14" t="s">
        <v>398</v>
      </c>
      <c r="AR14" t="s">
        <v>399</v>
      </c>
    </row>
    <row r="15" spans="1:45" x14ac:dyDescent="0.25">
      <c r="A15">
        <v>14</v>
      </c>
      <c r="B15" s="1" t="s">
        <v>421</v>
      </c>
      <c r="C15" s="6">
        <v>8903287207563</v>
      </c>
      <c r="D15" s="10" t="str">
        <f>VLOOKUP(C15,[1]Sheet1!$A$2:$E$1223,2,0)&amp;", "&amp;VLOOKUP(C15,[1]Sheet1!$A$2:$E$1223,3,0)&amp;", "&amp;VLOOKUP(C15,[1]Sheet1!$A$2:$E$1223,5,0)</f>
        <v>SPLIT AC 1.0 T 5S CI1453F213GN1  - IDU, ACMOU, 19940</v>
      </c>
      <c r="E15" t="s">
        <v>354</v>
      </c>
      <c r="F15" t="s">
        <v>354</v>
      </c>
      <c r="G15" t="s">
        <v>743</v>
      </c>
      <c r="H15">
        <v>66490</v>
      </c>
      <c r="I15">
        <f>VLOOKUP(C15,[1]Sheet1!$A$2:$E$20000,5,0)</f>
        <v>19940</v>
      </c>
      <c r="J15" t="str">
        <f>VLOOKUP(B15,[2]AC!$B$2:$BA$100,44,0)</f>
        <v>A</v>
      </c>
      <c r="K15" s="2">
        <f t="shared" si="0"/>
        <v>39894</v>
      </c>
      <c r="L15" t="s">
        <v>73</v>
      </c>
      <c r="M15">
        <v>1</v>
      </c>
      <c r="N15">
        <v>5</v>
      </c>
      <c r="O15" t="s">
        <v>376</v>
      </c>
      <c r="P15" t="s">
        <v>103</v>
      </c>
      <c r="Q15" t="s">
        <v>377</v>
      </c>
      <c r="R15" t="s">
        <v>378</v>
      </c>
      <c r="S15" t="s">
        <v>379</v>
      </c>
      <c r="T15" t="s">
        <v>380</v>
      </c>
      <c r="U15" t="s">
        <v>381</v>
      </c>
      <c r="V15" t="s">
        <v>382</v>
      </c>
      <c r="W15" t="s">
        <v>383</v>
      </c>
      <c r="X15" t="s">
        <v>384</v>
      </c>
      <c r="Y15" t="s">
        <v>439</v>
      </c>
      <c r="Z15" t="s">
        <v>444</v>
      </c>
      <c r="AA15" t="s">
        <v>452</v>
      </c>
      <c r="AB15" t="s">
        <v>385</v>
      </c>
      <c r="AC15" t="s">
        <v>386</v>
      </c>
      <c r="AD15" t="s">
        <v>389</v>
      </c>
      <c r="AE15" t="s">
        <v>390</v>
      </c>
      <c r="AF15" t="s">
        <v>442</v>
      </c>
      <c r="AG15" t="s">
        <v>443</v>
      </c>
      <c r="AH15" t="s">
        <v>447</v>
      </c>
      <c r="AI15" t="s">
        <v>448</v>
      </c>
      <c r="AJ15" t="s">
        <v>450</v>
      </c>
      <c r="AK15" t="s">
        <v>392</v>
      </c>
      <c r="AL15" t="s">
        <v>393</v>
      </c>
      <c r="AM15" t="s">
        <v>394</v>
      </c>
      <c r="AN15" t="s">
        <v>395</v>
      </c>
      <c r="AO15" t="s">
        <v>396</v>
      </c>
      <c r="AQ15" t="s">
        <v>398</v>
      </c>
      <c r="AR15" t="s">
        <v>399</v>
      </c>
    </row>
    <row r="16" spans="1:45" x14ac:dyDescent="0.25">
      <c r="A16">
        <v>15</v>
      </c>
      <c r="B16" s="1" t="s">
        <v>422</v>
      </c>
      <c r="C16" s="10">
        <v>8903287206818</v>
      </c>
      <c r="D16" s="10" t="str">
        <f>VLOOKUP(C16,[1]Sheet1!$A$2:$E$1223,2,0)&amp;", "&amp;VLOOKUP(C16,[1]Sheet1!$A$2:$E$1223,3,0)&amp;", "&amp;VLOOKUP(C16,[1]Sheet1!$A$2:$E$1223,5,0)</f>
        <v>SPLIT AC 1.5 T HI1831G223GM1 IDU, ACMIU, 72990</v>
      </c>
      <c r="E16" t="s">
        <v>354</v>
      </c>
      <c r="F16" t="s">
        <v>354</v>
      </c>
      <c r="G16" t="s">
        <v>744</v>
      </c>
      <c r="H16">
        <v>72990</v>
      </c>
      <c r="I16">
        <f>VLOOKUP(C16,[1]Sheet1!$A$2:$E$20000,5,0)</f>
        <v>72990</v>
      </c>
      <c r="J16" t="str">
        <f>VLOOKUP(B16,[2]AC!$B$2:$BA$100,44,0)</f>
        <v>A+</v>
      </c>
      <c r="K16" s="2">
        <f t="shared" si="0"/>
        <v>43794</v>
      </c>
      <c r="L16" t="s">
        <v>73</v>
      </c>
      <c r="M16">
        <v>1.5</v>
      </c>
      <c r="N16">
        <v>3</v>
      </c>
      <c r="O16" t="s">
        <v>376</v>
      </c>
      <c r="P16" t="s">
        <v>103</v>
      </c>
      <c r="Q16" t="s">
        <v>377</v>
      </c>
      <c r="R16" t="s">
        <v>378</v>
      </c>
      <c r="S16" t="s">
        <v>379</v>
      </c>
      <c r="T16" t="s">
        <v>380</v>
      </c>
      <c r="U16" t="s">
        <v>381</v>
      </c>
      <c r="V16" t="s">
        <v>382</v>
      </c>
      <c r="W16" t="s">
        <v>383</v>
      </c>
      <c r="X16" t="s">
        <v>384</v>
      </c>
      <c r="Y16" t="s">
        <v>439</v>
      </c>
      <c r="Z16" t="s">
        <v>444</v>
      </c>
      <c r="AB16" t="s">
        <v>385</v>
      </c>
      <c r="AC16" t="s">
        <v>386</v>
      </c>
      <c r="AD16" t="s">
        <v>389</v>
      </c>
      <c r="AE16" t="s">
        <v>390</v>
      </c>
      <c r="AF16" t="s">
        <v>442</v>
      </c>
      <c r="AG16" t="s">
        <v>443</v>
      </c>
      <c r="AH16" t="s">
        <v>447</v>
      </c>
      <c r="AI16" t="s">
        <v>448</v>
      </c>
      <c r="AJ16" t="s">
        <v>450</v>
      </c>
      <c r="AK16" t="s">
        <v>392</v>
      </c>
      <c r="AL16" t="s">
        <v>393</v>
      </c>
      <c r="AM16" t="s">
        <v>394</v>
      </c>
      <c r="AN16" t="s">
        <v>395</v>
      </c>
      <c r="AO16" t="s">
        <v>396</v>
      </c>
      <c r="AQ16" t="s">
        <v>398</v>
      </c>
      <c r="AR16" t="s">
        <v>399</v>
      </c>
    </row>
    <row r="17" spans="1:45" x14ac:dyDescent="0.25">
      <c r="A17">
        <v>16</v>
      </c>
      <c r="B17" s="1" t="s">
        <v>423</v>
      </c>
      <c r="C17" s="6">
        <v>8903287207013</v>
      </c>
      <c r="D17" s="10" t="str">
        <f>VLOOKUP(C17,[1]Sheet1!$A$2:$E$1223,2,0)&amp;", "&amp;VLOOKUP(C17,[1]Sheet1!$A$2:$E$1223,3,0)&amp;", "&amp;VLOOKUP(C17,[1]Sheet1!$A$2:$E$1223,5,0)</f>
        <v>SPLIT AC 1.5 T 5S CI2052A323GN1  - IDU, ACMIU, 21890</v>
      </c>
      <c r="E17" t="s">
        <v>354</v>
      </c>
      <c r="F17" t="s">
        <v>354</v>
      </c>
      <c r="G17" t="s">
        <v>745</v>
      </c>
      <c r="H17">
        <v>72990</v>
      </c>
      <c r="I17">
        <f>VLOOKUP(C17,[1]Sheet1!$A$2:$E$20000,5,0)</f>
        <v>21890</v>
      </c>
      <c r="J17" t="str">
        <f>VLOOKUP(B17,[2]AC!$B$2:$BA$100,44,0)</f>
        <v>A+</v>
      </c>
      <c r="K17" s="2">
        <f t="shared" si="0"/>
        <v>43794</v>
      </c>
      <c r="L17" t="s">
        <v>73</v>
      </c>
      <c r="M17">
        <v>1.5</v>
      </c>
      <c r="N17">
        <v>5</v>
      </c>
      <c r="O17" t="s">
        <v>376</v>
      </c>
      <c r="P17" t="s">
        <v>103</v>
      </c>
      <c r="Q17" t="s">
        <v>377</v>
      </c>
      <c r="R17" t="s">
        <v>378</v>
      </c>
      <c r="S17" t="s">
        <v>379</v>
      </c>
      <c r="T17" t="s">
        <v>380</v>
      </c>
      <c r="U17" t="s">
        <v>381</v>
      </c>
      <c r="V17" t="s">
        <v>382</v>
      </c>
      <c r="W17" t="s">
        <v>383</v>
      </c>
      <c r="X17" t="s">
        <v>384</v>
      </c>
      <c r="Y17" t="s">
        <v>439</v>
      </c>
      <c r="AB17" t="s">
        <v>385</v>
      </c>
      <c r="AC17" t="s">
        <v>386</v>
      </c>
      <c r="AD17" t="s">
        <v>389</v>
      </c>
      <c r="AE17" t="s">
        <v>390</v>
      </c>
      <c r="AK17" t="s">
        <v>392</v>
      </c>
      <c r="AL17" t="s">
        <v>393</v>
      </c>
      <c r="AM17" t="s">
        <v>394</v>
      </c>
      <c r="AN17" t="s">
        <v>395</v>
      </c>
      <c r="AO17" t="s">
        <v>396</v>
      </c>
      <c r="AQ17" t="s">
        <v>398</v>
      </c>
      <c r="AR17" t="s">
        <v>399</v>
      </c>
    </row>
    <row r="18" spans="1:45" x14ac:dyDescent="0.25">
      <c r="A18">
        <v>17</v>
      </c>
      <c r="B18" s="1" t="s">
        <v>424</v>
      </c>
      <c r="C18" s="6">
        <v>8903287206993</v>
      </c>
      <c r="D18" s="10" t="str">
        <f>VLOOKUP(C18,[1]Sheet1!$A$2:$E$1223,2,0)&amp;", "&amp;VLOOKUP(C18,[1]Sheet1!$A$2:$E$1223,3,0)&amp;", "&amp;VLOOKUP(C18,[1]Sheet1!$A$2:$E$1223,5,0)</f>
        <v>SPLIT AC 1.5 T 5S CI2053A323GN1  - IDU, ACMIU, 22790</v>
      </c>
      <c r="E18" t="s">
        <v>354</v>
      </c>
      <c r="F18" t="s">
        <v>354</v>
      </c>
      <c r="G18" t="s">
        <v>746</v>
      </c>
      <c r="H18">
        <v>75990</v>
      </c>
      <c r="I18">
        <f>VLOOKUP(C18,[1]Sheet1!$A$2:$E$20000,5,0)</f>
        <v>22790</v>
      </c>
      <c r="J18" t="str">
        <f>VLOOKUP(B18,[2]AC!$B$2:$BA$100,44,0)</f>
        <v>A++</v>
      </c>
      <c r="K18" s="2">
        <f t="shared" si="0"/>
        <v>45594</v>
      </c>
      <c r="L18" t="s">
        <v>73</v>
      </c>
      <c r="M18">
        <v>1.5</v>
      </c>
      <c r="N18">
        <v>5</v>
      </c>
      <c r="O18" t="s">
        <v>376</v>
      </c>
      <c r="P18" t="s">
        <v>103</v>
      </c>
      <c r="Q18" t="s">
        <v>377</v>
      </c>
      <c r="R18" t="s">
        <v>378</v>
      </c>
      <c r="S18" t="s">
        <v>379</v>
      </c>
      <c r="T18" t="s">
        <v>380</v>
      </c>
      <c r="U18" t="s">
        <v>381</v>
      </c>
      <c r="V18" t="s">
        <v>382</v>
      </c>
      <c r="W18" t="s">
        <v>383</v>
      </c>
      <c r="X18" t="s">
        <v>384</v>
      </c>
      <c r="Y18" t="s">
        <v>439</v>
      </c>
      <c r="AA18" t="s">
        <v>452</v>
      </c>
      <c r="AB18" t="s">
        <v>385</v>
      </c>
      <c r="AC18" t="s">
        <v>386</v>
      </c>
      <c r="AD18" t="s">
        <v>389</v>
      </c>
      <c r="AE18" t="s">
        <v>390</v>
      </c>
      <c r="AK18" t="s">
        <v>392</v>
      </c>
      <c r="AL18" t="s">
        <v>393</v>
      </c>
      <c r="AM18" t="s">
        <v>394</v>
      </c>
      <c r="AN18" t="s">
        <v>395</v>
      </c>
      <c r="AO18" t="s">
        <v>396</v>
      </c>
      <c r="AQ18" t="s">
        <v>398</v>
      </c>
      <c r="AR18" t="s">
        <v>399</v>
      </c>
    </row>
    <row r="19" spans="1:45" x14ac:dyDescent="0.25">
      <c r="A19">
        <v>18</v>
      </c>
      <c r="B19" s="1" t="s">
        <v>425</v>
      </c>
      <c r="C19" s="6">
        <v>8903287206979</v>
      </c>
      <c r="D19" s="10" t="str">
        <f>VLOOKUP(C19,[1]Sheet1!$A$2:$E$1223,2,0)&amp;", "&amp;VLOOKUP(C19,[1]Sheet1!$A$2:$E$1223,3,0)&amp;", "&amp;VLOOKUP(C19,[1]Sheet1!$A$2:$E$1223,5,0)</f>
        <v>SPLIT AC 1.5 T 5S CI2051G323GN1  - IDU, ACMIU, 22040</v>
      </c>
      <c r="E19" t="s">
        <v>354</v>
      </c>
      <c r="F19" t="s">
        <v>354</v>
      </c>
      <c r="G19" t="s">
        <v>747</v>
      </c>
      <c r="H19">
        <v>73490</v>
      </c>
      <c r="I19">
        <f>VLOOKUP(C19,[1]Sheet1!$A$2:$E$20000,5,0)</f>
        <v>22040</v>
      </c>
      <c r="J19" t="str">
        <f>VLOOKUP(B19,[2]AC!$B$2:$BA$100,44,0)</f>
        <v>A+</v>
      </c>
      <c r="K19" s="2">
        <f t="shared" si="0"/>
        <v>44094</v>
      </c>
      <c r="L19" t="s">
        <v>73</v>
      </c>
      <c r="M19">
        <v>1.5</v>
      </c>
      <c r="N19">
        <v>5</v>
      </c>
      <c r="O19" t="s">
        <v>376</v>
      </c>
      <c r="P19" t="s">
        <v>103</v>
      </c>
      <c r="Q19" t="s">
        <v>377</v>
      </c>
      <c r="R19" t="s">
        <v>378</v>
      </c>
      <c r="S19" t="s">
        <v>379</v>
      </c>
      <c r="T19" t="s">
        <v>380</v>
      </c>
      <c r="U19" t="s">
        <v>381</v>
      </c>
      <c r="V19" t="s">
        <v>382</v>
      </c>
      <c r="W19" t="s">
        <v>383</v>
      </c>
      <c r="X19" t="s">
        <v>384</v>
      </c>
      <c r="Y19" t="s">
        <v>439</v>
      </c>
      <c r="Z19" t="s">
        <v>444</v>
      </c>
      <c r="AB19" t="s">
        <v>385</v>
      </c>
      <c r="AC19" t="s">
        <v>386</v>
      </c>
      <c r="AD19" t="s">
        <v>389</v>
      </c>
      <c r="AE19" t="s">
        <v>390</v>
      </c>
      <c r="AF19" t="s">
        <v>442</v>
      </c>
      <c r="AG19" t="s">
        <v>443</v>
      </c>
      <c r="AH19" t="s">
        <v>447</v>
      </c>
      <c r="AI19" t="s">
        <v>448</v>
      </c>
      <c r="AJ19" t="s">
        <v>450</v>
      </c>
      <c r="AK19" t="s">
        <v>392</v>
      </c>
      <c r="AL19" t="s">
        <v>393</v>
      </c>
      <c r="AM19" t="s">
        <v>394</v>
      </c>
      <c r="AN19" t="s">
        <v>395</v>
      </c>
      <c r="AO19" t="s">
        <v>396</v>
      </c>
      <c r="AQ19" t="s">
        <v>398</v>
      </c>
      <c r="AR19" t="s">
        <v>399</v>
      </c>
    </row>
    <row r="20" spans="1:45" x14ac:dyDescent="0.25">
      <c r="A20">
        <v>19</v>
      </c>
      <c r="B20" s="1" t="s">
        <v>426</v>
      </c>
      <c r="C20" s="6">
        <v>8903287206955</v>
      </c>
      <c r="D20" s="10" t="str">
        <f>VLOOKUP(C20,[1]Sheet1!$A$2:$E$1223,2,0)&amp;", "&amp;VLOOKUP(C20,[1]Sheet1!$A$2:$E$1223,3,0)&amp;", "&amp;VLOOKUP(C20,[1]Sheet1!$A$2:$E$1223,5,0)</f>
        <v>SPLIT AC 1.5 T 5S CI2053F323GN1  - IDU, ACMIU, 22940</v>
      </c>
      <c r="E20" t="s">
        <v>354</v>
      </c>
      <c r="F20" t="s">
        <v>354</v>
      </c>
      <c r="G20" t="s">
        <v>748</v>
      </c>
      <c r="H20">
        <v>76490</v>
      </c>
      <c r="I20">
        <f>VLOOKUP(C20,[1]Sheet1!$A$2:$E$20000,5,0)</f>
        <v>22940</v>
      </c>
      <c r="J20" t="str">
        <f>VLOOKUP(B20,[2]AC!$B$2:$BA$100,44,0)</f>
        <v>A++</v>
      </c>
      <c r="K20" s="2">
        <f t="shared" si="0"/>
        <v>45894</v>
      </c>
      <c r="L20" t="s">
        <v>73</v>
      </c>
      <c r="M20">
        <v>1.5</v>
      </c>
      <c r="N20">
        <v>5</v>
      </c>
      <c r="O20" t="s">
        <v>376</v>
      </c>
      <c r="P20" t="s">
        <v>103</v>
      </c>
      <c r="Q20" t="s">
        <v>377</v>
      </c>
      <c r="R20" t="s">
        <v>378</v>
      </c>
      <c r="S20" t="s">
        <v>379</v>
      </c>
      <c r="T20" t="s">
        <v>380</v>
      </c>
      <c r="U20" t="s">
        <v>381</v>
      </c>
      <c r="V20" t="s">
        <v>382</v>
      </c>
      <c r="W20" t="s">
        <v>383</v>
      </c>
      <c r="X20" t="s">
        <v>384</v>
      </c>
      <c r="Y20" t="s">
        <v>439</v>
      </c>
      <c r="Z20" t="s">
        <v>444</v>
      </c>
      <c r="AA20" t="s">
        <v>452</v>
      </c>
      <c r="AB20" t="s">
        <v>385</v>
      </c>
      <c r="AC20" t="s">
        <v>386</v>
      </c>
      <c r="AD20" t="s">
        <v>389</v>
      </c>
      <c r="AE20" t="s">
        <v>390</v>
      </c>
      <c r="AF20" t="s">
        <v>442</v>
      </c>
      <c r="AG20" t="s">
        <v>443</v>
      </c>
      <c r="AH20" t="s">
        <v>447</v>
      </c>
      <c r="AI20" t="s">
        <v>448</v>
      </c>
      <c r="AJ20" t="s">
        <v>450</v>
      </c>
      <c r="AK20" t="s">
        <v>392</v>
      </c>
      <c r="AL20" t="s">
        <v>393</v>
      </c>
      <c r="AM20" t="s">
        <v>394</v>
      </c>
      <c r="AN20" t="s">
        <v>395</v>
      </c>
      <c r="AO20" t="s">
        <v>396</v>
      </c>
      <c r="AQ20" t="s">
        <v>398</v>
      </c>
      <c r="AR20" t="s">
        <v>399</v>
      </c>
    </row>
    <row r="21" spans="1:45" x14ac:dyDescent="0.25">
      <c r="A21">
        <v>20</v>
      </c>
      <c r="B21" s="1" t="s">
        <v>427</v>
      </c>
      <c r="C21" s="6">
        <v>8903287207303</v>
      </c>
      <c r="D21" s="10" t="str">
        <f>VLOOKUP(C21,[1]Sheet1!$A$2:$E$1223,2,0)&amp;", "&amp;VLOOKUP(C21,[1]Sheet1!$A$2:$E$1223,3,0)&amp;", "&amp;VLOOKUP(C21,[1]Sheet1!$A$2:$E$1223,5,0)</f>
        <v>SPLIT AC 1.5 T 5S CI1852A223GN1  - IDU, ACMIU, 21740</v>
      </c>
      <c r="E21" t="s">
        <v>354</v>
      </c>
      <c r="F21" t="s">
        <v>354</v>
      </c>
      <c r="G21" t="s">
        <v>749</v>
      </c>
      <c r="H21">
        <v>72490</v>
      </c>
      <c r="I21">
        <f>VLOOKUP(C21,[1]Sheet1!$A$2:$E$20000,5,0)</f>
        <v>21740</v>
      </c>
      <c r="J21" t="str">
        <f>VLOOKUP(B21,[2]AC!$B$2:$BA$100,44,0)</f>
        <v>A+</v>
      </c>
      <c r="K21" s="2">
        <f t="shared" si="0"/>
        <v>43494</v>
      </c>
      <c r="L21" t="s">
        <v>73</v>
      </c>
      <c r="M21">
        <v>1.5</v>
      </c>
      <c r="N21">
        <v>5</v>
      </c>
      <c r="O21" t="s">
        <v>376</v>
      </c>
      <c r="P21" t="s">
        <v>103</v>
      </c>
      <c r="Q21" t="s">
        <v>377</v>
      </c>
      <c r="R21" t="s">
        <v>378</v>
      </c>
      <c r="S21" t="s">
        <v>379</v>
      </c>
      <c r="T21" t="s">
        <v>380</v>
      </c>
      <c r="U21" t="s">
        <v>381</v>
      </c>
      <c r="V21" t="s">
        <v>382</v>
      </c>
      <c r="W21" t="s">
        <v>383</v>
      </c>
      <c r="X21" t="s">
        <v>384</v>
      </c>
      <c r="Y21" t="s">
        <v>439</v>
      </c>
      <c r="AB21" t="s">
        <v>385</v>
      </c>
      <c r="AC21" t="s">
        <v>386</v>
      </c>
      <c r="AD21" t="s">
        <v>389</v>
      </c>
      <c r="AE21" t="s">
        <v>390</v>
      </c>
      <c r="AK21" t="s">
        <v>392</v>
      </c>
      <c r="AL21" t="s">
        <v>393</v>
      </c>
      <c r="AM21" t="s">
        <v>394</v>
      </c>
      <c r="AN21" t="s">
        <v>395</v>
      </c>
      <c r="AO21" t="s">
        <v>396</v>
      </c>
      <c r="AQ21" t="s">
        <v>398</v>
      </c>
      <c r="AR21" t="s">
        <v>399</v>
      </c>
    </row>
    <row r="22" spans="1:45" x14ac:dyDescent="0.25">
      <c r="A22">
        <v>21</v>
      </c>
      <c r="B22" s="1" t="s">
        <v>428</v>
      </c>
      <c r="C22" s="10">
        <v>8903287206757</v>
      </c>
      <c r="D22" s="10" t="str">
        <f>VLOOKUP(C22,[1]Sheet1!$A$2:$E$1223,2,0)&amp;", "&amp;VLOOKUP(C22,[1]Sheet1!$A$2:$E$1223,3,0)&amp;", "&amp;VLOOKUP(C22,[1]Sheet1!$A$2:$E$1223,5,0)</f>
        <v>SPLIT AC 1.5 T CI1832A223GN1 - IDU, ACMIU, 62990</v>
      </c>
      <c r="E22" t="s">
        <v>354</v>
      </c>
      <c r="F22" t="s">
        <v>354</v>
      </c>
      <c r="G22" t="s">
        <v>750</v>
      </c>
      <c r="H22">
        <v>62990</v>
      </c>
      <c r="I22">
        <f>VLOOKUP(C22,[1]Sheet1!$A$2:$E$20000,5,0)</f>
        <v>62990</v>
      </c>
      <c r="J22" t="str">
        <f>VLOOKUP(B22,[2]AC!$B$2:$BA$100,44,0)</f>
        <v>A</v>
      </c>
      <c r="K22" s="2">
        <f t="shared" si="0"/>
        <v>37794</v>
      </c>
      <c r="L22" t="s">
        <v>73</v>
      </c>
      <c r="M22">
        <v>1.5</v>
      </c>
      <c r="N22">
        <v>3</v>
      </c>
      <c r="O22" t="s">
        <v>376</v>
      </c>
      <c r="P22" t="s">
        <v>103</v>
      </c>
      <c r="Q22" t="s">
        <v>377</v>
      </c>
      <c r="R22" t="s">
        <v>378</v>
      </c>
      <c r="S22" t="s">
        <v>379</v>
      </c>
      <c r="T22" t="s">
        <v>380</v>
      </c>
      <c r="U22" t="s">
        <v>381</v>
      </c>
      <c r="V22" t="s">
        <v>382</v>
      </c>
      <c r="W22" t="s">
        <v>383</v>
      </c>
      <c r="X22" t="s">
        <v>384</v>
      </c>
      <c r="Y22" t="s">
        <v>439</v>
      </c>
      <c r="AB22" t="s">
        <v>385</v>
      </c>
      <c r="AC22" t="s">
        <v>386</v>
      </c>
      <c r="AD22" t="s">
        <v>389</v>
      </c>
      <c r="AE22" t="s">
        <v>390</v>
      </c>
      <c r="AK22" t="s">
        <v>392</v>
      </c>
      <c r="AL22" t="s">
        <v>393</v>
      </c>
      <c r="AM22" t="s">
        <v>394</v>
      </c>
      <c r="AN22" t="s">
        <v>395</v>
      </c>
      <c r="AO22" t="s">
        <v>396</v>
      </c>
      <c r="AQ22" t="s">
        <v>398</v>
      </c>
      <c r="AR22" t="s">
        <v>399</v>
      </c>
    </row>
    <row r="23" spans="1:45" x14ac:dyDescent="0.25">
      <c r="A23">
        <v>22</v>
      </c>
      <c r="B23" s="1" t="s">
        <v>429</v>
      </c>
      <c r="C23" s="6">
        <v>8903287207549</v>
      </c>
      <c r="D23" s="10" t="str">
        <f>VLOOKUP(C23,[1]Sheet1!$A$2:$E$1223,2,0)&amp;", "&amp;VLOOKUP(C23,[1]Sheet1!$A$2:$E$1223,3,0)&amp;", "&amp;VLOOKUP(C23,[1]Sheet1!$A$2:$E$1223,5,0)</f>
        <v>SPLIT AC 1.5 T 3S CI1833A223GM1  - IDU, ACMIU, 19790</v>
      </c>
      <c r="E23" t="s">
        <v>354</v>
      </c>
      <c r="F23" t="s">
        <v>354</v>
      </c>
      <c r="G23" t="s">
        <v>751</v>
      </c>
      <c r="H23">
        <v>65990</v>
      </c>
      <c r="I23">
        <f>VLOOKUP(C23,[1]Sheet1!$A$2:$E$20000,5,0)</f>
        <v>19790</v>
      </c>
      <c r="J23" t="str">
        <f>VLOOKUP(B23,[2]AC!$B$2:$BA$100,44,0)</f>
        <v>A</v>
      </c>
      <c r="K23" s="2">
        <f t="shared" si="0"/>
        <v>39594</v>
      </c>
      <c r="L23" t="s">
        <v>73</v>
      </c>
      <c r="M23">
        <v>1.5</v>
      </c>
      <c r="N23">
        <v>3</v>
      </c>
      <c r="O23" t="s">
        <v>376</v>
      </c>
      <c r="P23" t="s">
        <v>103</v>
      </c>
      <c r="Q23" t="s">
        <v>377</v>
      </c>
      <c r="R23" t="s">
        <v>378</v>
      </c>
      <c r="S23" t="s">
        <v>379</v>
      </c>
      <c r="T23" t="s">
        <v>380</v>
      </c>
      <c r="U23" t="s">
        <v>381</v>
      </c>
      <c r="V23" t="s">
        <v>382</v>
      </c>
      <c r="W23" t="s">
        <v>383</v>
      </c>
      <c r="X23" t="s">
        <v>384</v>
      </c>
      <c r="Y23" t="s">
        <v>439</v>
      </c>
      <c r="AA23" t="s">
        <v>452</v>
      </c>
      <c r="AB23" t="s">
        <v>385</v>
      </c>
      <c r="AC23" t="s">
        <v>386</v>
      </c>
      <c r="AD23" t="s">
        <v>389</v>
      </c>
      <c r="AE23" t="s">
        <v>390</v>
      </c>
      <c r="AK23" t="s">
        <v>392</v>
      </c>
      <c r="AL23" t="s">
        <v>393</v>
      </c>
      <c r="AM23" t="s">
        <v>394</v>
      </c>
      <c r="AN23" t="s">
        <v>395</v>
      </c>
      <c r="AO23" t="s">
        <v>396</v>
      </c>
      <c r="AQ23" t="s">
        <v>398</v>
      </c>
      <c r="AR23" t="s">
        <v>399</v>
      </c>
    </row>
    <row r="24" spans="1:45" x14ac:dyDescent="0.25">
      <c r="A24">
        <v>23</v>
      </c>
      <c r="B24" s="1" t="s">
        <v>430</v>
      </c>
      <c r="C24" s="10">
        <v>8903287206733</v>
      </c>
      <c r="D24" s="10" t="str">
        <f>VLOOKUP(C24,[1]Sheet1!$A$2:$E$1223,2,0)&amp;", "&amp;VLOOKUP(C24,[1]Sheet1!$A$2:$E$1223,3,0)&amp;", "&amp;VLOOKUP(C24,[1]Sheet1!$A$2:$E$1223,5,0)</f>
        <v>SPLIT AC 1.5 T CI1832D223GN1 - IDU, ACMIU, 62990</v>
      </c>
      <c r="E24" t="s">
        <v>354</v>
      </c>
      <c r="F24" t="s">
        <v>354</v>
      </c>
      <c r="G24" t="s">
        <v>752</v>
      </c>
      <c r="H24">
        <v>62990</v>
      </c>
      <c r="I24">
        <f>VLOOKUP(C24,[1]Sheet1!$A$2:$E$20000,5,0)</f>
        <v>62990</v>
      </c>
      <c r="J24" t="str">
        <f>VLOOKUP(B24,[2]AC!$B$2:$BA$100,44,0)</f>
        <v>A</v>
      </c>
      <c r="K24" s="2">
        <f t="shared" si="0"/>
        <v>37794</v>
      </c>
      <c r="L24" t="s">
        <v>73</v>
      </c>
      <c r="M24">
        <v>1.5</v>
      </c>
      <c r="N24">
        <v>3</v>
      </c>
      <c r="O24" t="s">
        <v>376</v>
      </c>
      <c r="P24" t="s">
        <v>103</v>
      </c>
      <c r="Q24" t="s">
        <v>377</v>
      </c>
      <c r="R24" t="s">
        <v>378</v>
      </c>
      <c r="S24" t="s">
        <v>379</v>
      </c>
      <c r="T24" t="s">
        <v>380</v>
      </c>
      <c r="U24" t="s">
        <v>381</v>
      </c>
      <c r="V24" t="s">
        <v>382</v>
      </c>
      <c r="W24" t="s">
        <v>383</v>
      </c>
      <c r="X24" t="s">
        <v>384</v>
      </c>
      <c r="Y24" t="s">
        <v>439</v>
      </c>
      <c r="AB24" t="s">
        <v>385</v>
      </c>
      <c r="AC24" t="s">
        <v>386</v>
      </c>
      <c r="AD24" t="s">
        <v>389</v>
      </c>
      <c r="AE24" t="s">
        <v>390</v>
      </c>
      <c r="AK24" t="s">
        <v>392</v>
      </c>
      <c r="AL24" t="s">
        <v>393</v>
      </c>
      <c r="AM24" t="s">
        <v>394</v>
      </c>
      <c r="AN24" t="s">
        <v>395</v>
      </c>
      <c r="AO24" t="s">
        <v>396</v>
      </c>
      <c r="AQ24" t="s">
        <v>398</v>
      </c>
      <c r="AR24" t="s">
        <v>399</v>
      </c>
    </row>
    <row r="25" spans="1:45" x14ac:dyDescent="0.25">
      <c r="A25">
        <v>24</v>
      </c>
      <c r="B25" s="1" t="s">
        <v>431</v>
      </c>
      <c r="C25" s="6">
        <v>8903287207327</v>
      </c>
      <c r="D25" s="10" t="str">
        <f>VLOOKUP(C25,[1]Sheet1!$A$2:$E$1223,2,0)&amp;", "&amp;VLOOKUP(C25,[1]Sheet1!$A$2:$E$1223,3,0)&amp;", "&amp;VLOOKUP(C25,[1]Sheet1!$A$2:$E$1223,5,0)</f>
        <v>SPLIT AC 1.5 T 3S CI1831G223GN1  - IDU, ACMIU, 19040</v>
      </c>
      <c r="E25" t="s">
        <v>354</v>
      </c>
      <c r="F25" t="s">
        <v>354</v>
      </c>
      <c r="G25" t="s">
        <v>753</v>
      </c>
      <c r="H25">
        <v>63490</v>
      </c>
      <c r="I25">
        <f>VLOOKUP(C25,[1]Sheet1!$A$2:$E$20000,5,0)</f>
        <v>19040</v>
      </c>
      <c r="J25" t="str">
        <f>VLOOKUP(B25,[2]AC!$B$2:$BA$100,44,0)</f>
        <v>A</v>
      </c>
      <c r="K25" s="2">
        <f t="shared" si="0"/>
        <v>38094</v>
      </c>
      <c r="L25" t="s">
        <v>73</v>
      </c>
      <c r="M25">
        <v>1.5</v>
      </c>
      <c r="N25">
        <v>3</v>
      </c>
      <c r="O25" t="s">
        <v>376</v>
      </c>
      <c r="P25" t="s">
        <v>103</v>
      </c>
      <c r="Q25" t="s">
        <v>377</v>
      </c>
      <c r="R25" t="s">
        <v>378</v>
      </c>
      <c r="S25" t="s">
        <v>379</v>
      </c>
      <c r="T25" t="s">
        <v>380</v>
      </c>
      <c r="U25" t="s">
        <v>381</v>
      </c>
      <c r="V25" t="s">
        <v>382</v>
      </c>
      <c r="W25" t="s">
        <v>383</v>
      </c>
      <c r="X25" t="s">
        <v>384</v>
      </c>
      <c r="Y25" t="s">
        <v>439</v>
      </c>
      <c r="Z25" t="s">
        <v>444</v>
      </c>
      <c r="AB25" t="s">
        <v>385</v>
      </c>
      <c r="AC25" t="s">
        <v>386</v>
      </c>
      <c r="AD25" t="s">
        <v>389</v>
      </c>
      <c r="AE25" t="s">
        <v>390</v>
      </c>
      <c r="AF25" t="s">
        <v>442</v>
      </c>
      <c r="AG25" t="s">
        <v>443</v>
      </c>
      <c r="AH25" t="s">
        <v>447</v>
      </c>
      <c r="AI25" t="s">
        <v>448</v>
      </c>
      <c r="AJ25" t="s">
        <v>450</v>
      </c>
      <c r="AK25" t="s">
        <v>392</v>
      </c>
      <c r="AL25" t="s">
        <v>393</v>
      </c>
      <c r="AM25" t="s">
        <v>394</v>
      </c>
      <c r="AN25" t="s">
        <v>395</v>
      </c>
      <c r="AO25" t="s">
        <v>396</v>
      </c>
      <c r="AQ25" t="s">
        <v>398</v>
      </c>
      <c r="AR25" t="s">
        <v>399</v>
      </c>
    </row>
    <row r="26" spans="1:45" x14ac:dyDescent="0.25">
      <c r="A26">
        <v>25</v>
      </c>
      <c r="B26" s="1" t="s">
        <v>432</v>
      </c>
      <c r="C26" s="10">
        <v>8903287206696</v>
      </c>
      <c r="D26" s="10" t="str">
        <f>VLOOKUP(C26,[1]Sheet1!$A$2:$E$1223,2,0)&amp;", "&amp;VLOOKUP(C26,[1]Sheet1!$A$2:$E$1223,3,0)&amp;", "&amp;VLOOKUP(C26,[1]Sheet1!$A$2:$E$1223,5,0)</f>
        <v>SPLIT AC 1.5 T CI1833F223GM1 - IDU, ACMIU, 66490</v>
      </c>
      <c r="E26" t="s">
        <v>354</v>
      </c>
      <c r="F26" t="s">
        <v>354</v>
      </c>
      <c r="G26" t="s">
        <v>754</v>
      </c>
      <c r="H26">
        <v>66490</v>
      </c>
      <c r="I26">
        <f>VLOOKUP(C26,[1]Sheet1!$A$2:$E$20000,5,0)</f>
        <v>66490</v>
      </c>
      <c r="J26" t="str">
        <f>VLOOKUP(B26,[2]AC!$B$2:$BA$100,44,0)</f>
        <v>A</v>
      </c>
      <c r="K26" s="2">
        <f t="shared" si="0"/>
        <v>39894</v>
      </c>
      <c r="L26" t="s">
        <v>73</v>
      </c>
      <c r="M26">
        <v>1.5</v>
      </c>
      <c r="N26">
        <v>3</v>
      </c>
      <c r="O26" t="s">
        <v>376</v>
      </c>
      <c r="P26" t="s">
        <v>103</v>
      </c>
      <c r="Q26" t="s">
        <v>377</v>
      </c>
      <c r="R26" t="s">
        <v>378</v>
      </c>
      <c r="S26" t="s">
        <v>379</v>
      </c>
      <c r="T26" t="s">
        <v>380</v>
      </c>
      <c r="U26" t="s">
        <v>381</v>
      </c>
      <c r="V26" t="s">
        <v>382</v>
      </c>
      <c r="W26" t="s">
        <v>383</v>
      </c>
      <c r="X26" t="s">
        <v>384</v>
      </c>
      <c r="Y26" t="s">
        <v>439</v>
      </c>
      <c r="Z26" t="s">
        <v>444</v>
      </c>
      <c r="AA26" t="s">
        <v>452</v>
      </c>
      <c r="AB26" t="s">
        <v>385</v>
      </c>
      <c r="AC26" t="s">
        <v>386</v>
      </c>
      <c r="AD26" t="s">
        <v>389</v>
      </c>
      <c r="AE26" t="s">
        <v>390</v>
      </c>
      <c r="AF26" t="s">
        <v>442</v>
      </c>
      <c r="AG26" t="s">
        <v>443</v>
      </c>
      <c r="AH26" t="s">
        <v>447</v>
      </c>
      <c r="AI26" t="s">
        <v>448</v>
      </c>
      <c r="AJ26" t="s">
        <v>450</v>
      </c>
      <c r="AK26" t="s">
        <v>392</v>
      </c>
      <c r="AL26" t="s">
        <v>393</v>
      </c>
      <c r="AM26" t="s">
        <v>394</v>
      </c>
      <c r="AN26" t="s">
        <v>395</v>
      </c>
      <c r="AO26" t="s">
        <v>396</v>
      </c>
      <c r="AQ26" t="s">
        <v>398</v>
      </c>
      <c r="AR26" t="s">
        <v>399</v>
      </c>
    </row>
    <row r="27" spans="1:45" x14ac:dyDescent="0.25">
      <c r="A27">
        <v>26</v>
      </c>
      <c r="B27" s="1" t="s">
        <v>433</v>
      </c>
      <c r="C27" s="6">
        <v>8903287207266</v>
      </c>
      <c r="D27" s="10" t="str">
        <f>VLOOKUP(C27,[1]Sheet1!$A$2:$E$1223,2,0)&amp;", "&amp;VLOOKUP(C27,[1]Sheet1!$A$2:$E$1223,3,0)&amp;", "&amp;VLOOKUP(C27,[1]Sheet1!$A$2:$E$1223,5,0)</f>
        <v>SPLIT AC 1.0 T 3S CI1333A113GN1 IDU, ACMIU, 16790</v>
      </c>
      <c r="E27" t="s">
        <v>354</v>
      </c>
      <c r="F27" t="s">
        <v>354</v>
      </c>
      <c r="G27" t="s">
        <v>755</v>
      </c>
      <c r="H27">
        <v>55990</v>
      </c>
      <c r="I27">
        <f>VLOOKUP(C27,[1]Sheet1!$A$2:$E$20000,5,0)</f>
        <v>16790</v>
      </c>
      <c r="J27" t="str">
        <f>VLOOKUP(B27,[2]AC!$B$2:$BA$100,44,0)</f>
        <v>B</v>
      </c>
      <c r="K27" s="2">
        <f t="shared" si="0"/>
        <v>33594</v>
      </c>
      <c r="L27" t="s">
        <v>73</v>
      </c>
      <c r="M27">
        <v>1</v>
      </c>
      <c r="N27">
        <v>3</v>
      </c>
      <c r="O27" t="s">
        <v>376</v>
      </c>
      <c r="P27" t="s">
        <v>103</v>
      </c>
      <c r="Q27" t="s">
        <v>377</v>
      </c>
      <c r="R27" t="s">
        <v>378</v>
      </c>
      <c r="S27" t="s">
        <v>379</v>
      </c>
      <c r="T27" t="s">
        <v>380</v>
      </c>
      <c r="U27" t="s">
        <v>381</v>
      </c>
      <c r="V27" t="s">
        <v>382</v>
      </c>
      <c r="W27" t="s">
        <v>383</v>
      </c>
      <c r="X27" t="s">
        <v>384</v>
      </c>
      <c r="Y27" t="s">
        <v>439</v>
      </c>
      <c r="AA27" t="s">
        <v>452</v>
      </c>
      <c r="AB27" t="s">
        <v>385</v>
      </c>
      <c r="AC27" t="s">
        <v>386</v>
      </c>
      <c r="AD27" t="s">
        <v>389</v>
      </c>
      <c r="AE27" t="s">
        <v>390</v>
      </c>
      <c r="AK27" t="s">
        <v>392</v>
      </c>
      <c r="AL27" t="s">
        <v>393</v>
      </c>
      <c r="AM27" t="s">
        <v>394</v>
      </c>
      <c r="AN27" t="s">
        <v>395</v>
      </c>
      <c r="AO27" t="s">
        <v>396</v>
      </c>
      <c r="AQ27" t="s">
        <v>398</v>
      </c>
      <c r="AR27" t="s">
        <v>399</v>
      </c>
    </row>
    <row r="28" spans="1:45" x14ac:dyDescent="0.25">
      <c r="A28">
        <v>27</v>
      </c>
      <c r="B28" s="1" t="s">
        <v>434</v>
      </c>
      <c r="C28" s="6">
        <v>8903287207242</v>
      </c>
      <c r="D28" s="10" t="str">
        <f>VLOOKUP(C28,[1]Sheet1!$A$2:$E$1223,2,0)&amp;", "&amp;VLOOKUP(C28,[1]Sheet1!$A$2:$E$1223,3,0)&amp;", "&amp;VLOOKUP(C28,[1]Sheet1!$A$2:$E$1223,5,0)</f>
        <v>SPLIT AC 1.0 T 3S CI1332D113GN1 IDU, ACMIU, 15890</v>
      </c>
      <c r="E28" t="s">
        <v>354</v>
      </c>
      <c r="F28" t="s">
        <v>354</v>
      </c>
      <c r="G28" t="s">
        <v>756</v>
      </c>
      <c r="H28">
        <v>52990</v>
      </c>
      <c r="I28">
        <f>VLOOKUP(C28,[1]Sheet1!$A$2:$E$20000,5,0)</f>
        <v>15890</v>
      </c>
      <c r="J28" t="str">
        <f>VLOOKUP(B28,[2]AC!$B$2:$BA$100,44,0)</f>
        <v>C</v>
      </c>
      <c r="K28" s="2">
        <f t="shared" si="0"/>
        <v>31794</v>
      </c>
      <c r="L28" t="s">
        <v>73</v>
      </c>
      <c r="M28">
        <v>1</v>
      </c>
      <c r="N28">
        <v>3</v>
      </c>
      <c r="O28" t="s">
        <v>376</v>
      </c>
      <c r="P28" t="s">
        <v>103</v>
      </c>
      <c r="Q28" t="s">
        <v>377</v>
      </c>
      <c r="R28" t="s">
        <v>378</v>
      </c>
      <c r="S28" t="s">
        <v>379</v>
      </c>
      <c r="T28" t="s">
        <v>380</v>
      </c>
      <c r="U28" t="s">
        <v>381</v>
      </c>
      <c r="V28" t="s">
        <v>382</v>
      </c>
      <c r="W28" t="s">
        <v>383</v>
      </c>
      <c r="X28" t="s">
        <v>384</v>
      </c>
      <c r="Y28" t="s">
        <v>439</v>
      </c>
      <c r="AB28" t="s">
        <v>385</v>
      </c>
      <c r="AC28" t="s">
        <v>386</v>
      </c>
      <c r="AD28" t="s">
        <v>389</v>
      </c>
      <c r="AE28" t="s">
        <v>390</v>
      </c>
      <c r="AK28" t="s">
        <v>392</v>
      </c>
      <c r="AL28" t="s">
        <v>393</v>
      </c>
      <c r="AM28" t="s">
        <v>394</v>
      </c>
      <c r="AN28" t="s">
        <v>395</v>
      </c>
      <c r="AO28" t="s">
        <v>396</v>
      </c>
      <c r="AQ28" t="s">
        <v>398</v>
      </c>
      <c r="AR28" t="s">
        <v>399</v>
      </c>
    </row>
    <row r="29" spans="1:45" x14ac:dyDescent="0.25">
      <c r="A29">
        <v>28</v>
      </c>
      <c r="B29" s="1" t="s">
        <v>435</v>
      </c>
      <c r="C29" s="6">
        <v>8903287207525</v>
      </c>
      <c r="D29" s="10" t="str">
        <f>VLOOKUP(C29,[1]Sheet1!$A$2:$E$1223,2,0)&amp;", "&amp;VLOOKUP(C29,[1]Sheet1!$A$2:$E$1223,3,0)&amp;", "&amp;VLOOKUP(C29,[1]Sheet1!$A$2:$E$1223,5,0)</f>
        <v>SPLIT AC 1.0 T CI1333E113GN1 IDU, ACMIU, 16790</v>
      </c>
      <c r="E29" t="s">
        <v>354</v>
      </c>
      <c r="F29" t="s">
        <v>354</v>
      </c>
      <c r="G29" t="s">
        <v>757</v>
      </c>
      <c r="H29">
        <v>55990</v>
      </c>
      <c r="I29">
        <f>VLOOKUP(C29,[1]Sheet1!$A$2:$E$20000,5,0)</f>
        <v>16790</v>
      </c>
      <c r="J29" t="str">
        <f>VLOOKUP(B29,[2]AC!$B$2:$BA$100,44,0)</f>
        <v>B</v>
      </c>
      <c r="K29" s="2">
        <f t="shared" si="0"/>
        <v>33594</v>
      </c>
      <c r="L29" t="s">
        <v>73</v>
      </c>
      <c r="M29">
        <v>1</v>
      </c>
      <c r="N29">
        <v>3</v>
      </c>
      <c r="O29" t="s">
        <v>376</v>
      </c>
      <c r="P29" t="s">
        <v>103</v>
      </c>
      <c r="Q29" t="s">
        <v>377</v>
      </c>
      <c r="R29" t="s">
        <v>378</v>
      </c>
      <c r="S29" t="s">
        <v>379</v>
      </c>
      <c r="T29" t="s">
        <v>380</v>
      </c>
      <c r="U29" t="s">
        <v>381</v>
      </c>
      <c r="V29" t="s">
        <v>382</v>
      </c>
      <c r="W29" t="s">
        <v>383</v>
      </c>
      <c r="X29" t="s">
        <v>384</v>
      </c>
      <c r="Y29" t="s">
        <v>439</v>
      </c>
      <c r="AA29" t="s">
        <v>452</v>
      </c>
      <c r="AB29" t="s">
        <v>385</v>
      </c>
      <c r="AC29" t="s">
        <v>386</v>
      </c>
      <c r="AD29" t="s">
        <v>389</v>
      </c>
      <c r="AE29" t="s">
        <v>390</v>
      </c>
      <c r="AK29" t="s">
        <v>392</v>
      </c>
      <c r="AL29" t="s">
        <v>393</v>
      </c>
      <c r="AM29" t="s">
        <v>394</v>
      </c>
      <c r="AN29" t="s">
        <v>395</v>
      </c>
      <c r="AO29" t="s">
        <v>396</v>
      </c>
      <c r="AQ29" t="s">
        <v>398</v>
      </c>
      <c r="AR29" t="s">
        <v>399</v>
      </c>
    </row>
    <row r="30" spans="1:45" x14ac:dyDescent="0.25">
      <c r="A30">
        <v>29</v>
      </c>
      <c r="B30" s="1" t="s">
        <v>436</v>
      </c>
      <c r="C30" s="10">
        <v>8903287205132</v>
      </c>
      <c r="D30" s="10" t="str">
        <f>VLOOKUP(C30,[1]Sheet1!$A$2:$E$1223,2,0)&amp;", "&amp;VLOOKUP(C30,[1]Sheet1!$A$2:$E$1223,3,0)&amp;", "&amp;VLOOKUP(C30,[1]Sheet1!$A$2:$E$1223,5,0)</f>
        <v>SPLIT AC 2.0T IAHI24X23G3C - IDU, ACMIU, 67990</v>
      </c>
      <c r="E30" t="s">
        <v>354</v>
      </c>
      <c r="F30" t="s">
        <v>354</v>
      </c>
      <c r="G30" t="s">
        <v>758</v>
      </c>
      <c r="H30">
        <v>67990</v>
      </c>
      <c r="I30">
        <f>VLOOKUP(C30,[1]Sheet1!$A$2:$E$20000,5,0)</f>
        <v>67990</v>
      </c>
      <c r="J30" t="str">
        <f>VLOOKUP(B30,[2]AC!$B$2:$BA$100,44,0)</f>
        <v>A+</v>
      </c>
      <c r="K30" s="2">
        <f>H30-(H30*0.15)</f>
        <v>57791.5</v>
      </c>
      <c r="L30" t="s">
        <v>73</v>
      </c>
      <c r="M30">
        <v>2</v>
      </c>
      <c r="N30">
        <v>3</v>
      </c>
      <c r="O30" t="s">
        <v>376</v>
      </c>
      <c r="T30" t="s">
        <v>380</v>
      </c>
      <c r="W30" t="s">
        <v>383</v>
      </c>
      <c r="X30" t="s">
        <v>384</v>
      </c>
      <c r="AB30" t="s">
        <v>385</v>
      </c>
      <c r="AC30" t="s">
        <v>386</v>
      </c>
      <c r="AD30" t="s">
        <v>389</v>
      </c>
      <c r="AE30" t="s">
        <v>390</v>
      </c>
      <c r="AK30" t="s">
        <v>392</v>
      </c>
      <c r="AL30" t="s">
        <v>393</v>
      </c>
      <c r="AM30" t="s">
        <v>394</v>
      </c>
      <c r="AN30" t="s">
        <v>395</v>
      </c>
      <c r="AO30" t="s">
        <v>396</v>
      </c>
      <c r="AP30" t="s">
        <v>397</v>
      </c>
      <c r="AQ30" t="s">
        <v>398</v>
      </c>
      <c r="AR30" t="s">
        <v>399</v>
      </c>
      <c r="AS30" t="s">
        <v>83</v>
      </c>
    </row>
    <row r="31" spans="1:45" x14ac:dyDescent="0.25">
      <c r="A31">
        <v>30</v>
      </c>
      <c r="B31" s="1" t="s">
        <v>437</v>
      </c>
      <c r="C31" s="10" t="e">
        <v>#N/A</v>
      </c>
      <c r="D31" s="10" t="e">
        <f>VLOOKUP(C31,[1]Sheet1!$A$2:$E$1223,2,0)&amp;", "&amp;VLOOKUP(C31,[1]Sheet1!$A$2:$E$1223,3,0)&amp;", "&amp;VLOOKUP(C31,[1]Sheet1!$A$2:$E$1223,5,0)</f>
        <v>#N/A</v>
      </c>
      <c r="E31" t="s">
        <v>354</v>
      </c>
      <c r="F31" t="s">
        <v>354</v>
      </c>
      <c r="G31" t="s">
        <v>759</v>
      </c>
      <c r="H31">
        <v>79990</v>
      </c>
      <c r="I31" t="e">
        <f>VLOOKUP(C31,[1]Sheet1!$A$2:$E$20000,5,0)</f>
        <v>#N/A</v>
      </c>
      <c r="J31" t="str">
        <f>VLOOKUP(B31,[2]AC!$B$2:$BA$100,44,0)</f>
        <v>A++</v>
      </c>
      <c r="K31" s="2">
        <f>H31-(H31*0.18)</f>
        <v>65591.8</v>
      </c>
      <c r="L31" t="s">
        <v>73</v>
      </c>
      <c r="M31">
        <v>2</v>
      </c>
      <c r="N31">
        <v>3</v>
      </c>
      <c r="O31" t="s">
        <v>376</v>
      </c>
      <c r="P31" t="s">
        <v>103</v>
      </c>
      <c r="Q31" t="s">
        <v>377</v>
      </c>
      <c r="R31" t="s">
        <v>378</v>
      </c>
      <c r="S31" t="s">
        <v>379</v>
      </c>
      <c r="T31" t="s">
        <v>380</v>
      </c>
      <c r="U31" t="s">
        <v>381</v>
      </c>
      <c r="V31" t="s">
        <v>382</v>
      </c>
      <c r="W31" t="s">
        <v>383</v>
      </c>
      <c r="X31" t="s">
        <v>384</v>
      </c>
      <c r="Y31" t="s">
        <v>439</v>
      </c>
      <c r="AB31" t="s">
        <v>385</v>
      </c>
      <c r="AC31" t="s">
        <v>386</v>
      </c>
      <c r="AD31" t="s">
        <v>389</v>
      </c>
      <c r="AE31" t="s">
        <v>390</v>
      </c>
      <c r="AK31" t="s">
        <v>392</v>
      </c>
      <c r="AL31" t="s">
        <v>393</v>
      </c>
      <c r="AM31" t="s">
        <v>394</v>
      </c>
      <c r="AN31" t="s">
        <v>395</v>
      </c>
      <c r="AO31" t="s">
        <v>396</v>
      </c>
      <c r="AQ31" t="s">
        <v>398</v>
      </c>
      <c r="AR31" t="s">
        <v>399</v>
      </c>
      <c r="AS31" t="s">
        <v>83</v>
      </c>
    </row>
    <row r="32" spans="1:45" x14ac:dyDescent="0.25">
      <c r="A32">
        <v>31</v>
      </c>
      <c r="B32" s="1" t="s">
        <v>438</v>
      </c>
      <c r="C32" s="10">
        <v>8903287206634</v>
      </c>
      <c r="D32" s="10" t="str">
        <f>VLOOKUP(C32,[1]Sheet1!$A$2:$E$1223,2,0)&amp;", "&amp;VLOOKUP(C32,[1]Sheet1!$A$2:$E$1223,3,0)&amp;", "&amp;VLOOKUP(C32,[1]Sheet1!$A$2:$E$1223,5,0)</f>
        <v>SPLIT AC 1.5 T CI1833E223GN1 - IDU, ACMIU, 65990</v>
      </c>
      <c r="E32" t="s">
        <v>354</v>
      </c>
      <c r="F32" t="s">
        <v>354</v>
      </c>
      <c r="G32" t="s">
        <v>760</v>
      </c>
      <c r="H32">
        <v>65990</v>
      </c>
      <c r="I32">
        <f>VLOOKUP(C32,[1]Sheet1!$A$2:$E$20000,5,0)</f>
        <v>65990</v>
      </c>
      <c r="J32" t="str">
        <f>VLOOKUP(B32,[2]AC!$B$2:$BA$100,44,0)</f>
        <v>A</v>
      </c>
      <c r="K32" s="2">
        <f t="shared" si="0"/>
        <v>39594</v>
      </c>
      <c r="L32" t="s">
        <v>73</v>
      </c>
      <c r="M32">
        <v>1.5</v>
      </c>
      <c r="N32">
        <v>3</v>
      </c>
      <c r="O32" t="s">
        <v>376</v>
      </c>
      <c r="P32" t="s">
        <v>103</v>
      </c>
      <c r="Q32" t="s">
        <v>377</v>
      </c>
      <c r="R32" t="s">
        <v>378</v>
      </c>
      <c r="S32" t="s">
        <v>379</v>
      </c>
      <c r="T32" t="s">
        <v>380</v>
      </c>
      <c r="U32" t="s">
        <v>381</v>
      </c>
      <c r="V32" t="s">
        <v>382</v>
      </c>
      <c r="W32" t="s">
        <v>383</v>
      </c>
      <c r="X32" t="s">
        <v>384</v>
      </c>
      <c r="Y32" t="s">
        <v>439</v>
      </c>
      <c r="AA32" t="s">
        <v>452</v>
      </c>
      <c r="AB32" t="s">
        <v>385</v>
      </c>
      <c r="AC32" t="s">
        <v>386</v>
      </c>
      <c r="AD32" t="s">
        <v>389</v>
      </c>
      <c r="AE32" t="s">
        <v>390</v>
      </c>
      <c r="AK32" t="s">
        <v>392</v>
      </c>
      <c r="AL32" t="s">
        <v>393</v>
      </c>
      <c r="AM32" t="s">
        <v>394</v>
      </c>
      <c r="AN32" t="s">
        <v>395</v>
      </c>
      <c r="AO32" t="s">
        <v>396</v>
      </c>
      <c r="AQ32" t="s">
        <v>398</v>
      </c>
      <c r="AR32" t="s">
        <v>399</v>
      </c>
    </row>
  </sheetData>
  <phoneticPr fontId="3" type="noConversion"/>
  <hyperlinks>
    <hyperlink ref="B2" r:id="rId1" display="https://www.ifbappliances.com/ci1832a223gm1" xr:uid="{7579F157-7493-4DBB-ABC8-940EE1B4B792}"/>
    <hyperlink ref="B3" r:id="rId2" display="https://www.ifbappliances.com/ci2433a323g3" xr:uid="{2F1CA7AF-10FE-41A4-A930-2106CE0063DC}"/>
    <hyperlink ref="B4" r:id="rId3" display="https://www.ifbappliances.com/ci1852d223gn1" xr:uid="{D76ADC0D-083B-4CDA-BAF6-CCE30C4DD098}"/>
    <hyperlink ref="B5" r:id="rId4" display="https://www.ifbappliances.com/ci1831g223gm1" xr:uid="{A74210AD-333D-4C2E-9BA8-E23FC2A09D9B}"/>
    <hyperlink ref="B6" r:id="rId5" display="https://www.ifbappliances.com/ci1853e223gn1" xr:uid="{A448D368-605F-439C-8199-BBD28A98B2AA}"/>
    <hyperlink ref="B7" r:id="rId6" display="https://www.ifbappliances.com/ci2432d323g3" xr:uid="{A78F41F0-1B20-4394-9F66-9A3A4CA45BB2}"/>
    <hyperlink ref="B8" r:id="rId7" display="https://www.ifbappliances.com/ci2431g323g3" xr:uid="{0A35E1C6-D8A6-426D-8849-CE721AEEF6DC}"/>
    <hyperlink ref="B9" r:id="rId8" display="https://www.ifbappliances.com/ci1332a113gn1" xr:uid="{BA6F529B-8DE8-4533-B65C-44B2849E0F4A}"/>
    <hyperlink ref="B10" r:id="rId9" display="https://www.ifbappliances.com/ci2433a323g4" xr:uid="{043D7181-871C-4554-AA24-5ADBE1A65EAB}"/>
    <hyperlink ref="B11" r:id="rId10" display="https://www.ifbappliances.com/ci2432d323g4" xr:uid="{3DA21EF7-AAB9-4CFB-BA6F-E67247F0DC71}"/>
    <hyperlink ref="B12" r:id="rId11" display="https://www.ifbappliances.com/ci2431g323g4" xr:uid="{47770864-3381-4AF1-AF27-70F8344F03BB}"/>
    <hyperlink ref="B13" r:id="rId12" display="https://www.ifbappliances.com/ci2433f323g4" xr:uid="{4E3596F4-A4A5-4D25-B6FB-C7EAE6624C30}"/>
    <hyperlink ref="B15" r:id="rId13" display="https://www.ifbappliances.com/ci1453f213gn1" xr:uid="{32079EF6-D9F4-4766-B3B5-3C6634B0D1D7}"/>
    <hyperlink ref="B16" r:id="rId14" display="https://www.ifbappliances.com/hi1831g223gm1" xr:uid="{26E6A756-6831-4B8E-A496-3A7FCC342B17}"/>
    <hyperlink ref="B17" r:id="rId15" display="https://www.ifbappliances.com/ci2052a323gn1" xr:uid="{84EE7243-6272-4F76-A075-CC42DC4518A4}"/>
    <hyperlink ref="B18" r:id="rId16" display="https://www.ifbappliances.com/ci2053a323gn1" xr:uid="{B7D99A18-27DA-4306-B0CC-D7B77014CF6F}"/>
    <hyperlink ref="B19" r:id="rId17" display="https://www.ifbappliances.com/ci2051g323gn1" xr:uid="{5ECCC336-395E-4F7C-BB1C-B3449FF45A2A}"/>
    <hyperlink ref="B20" r:id="rId18" display="https://www.ifbappliances.com/ci2053f323gn1" xr:uid="{40DB7DEA-8998-4F98-A6FF-658DE3B19FED}"/>
    <hyperlink ref="B21" r:id="rId19" display="https://www.ifbappliances.com/ci1852a223gn1" xr:uid="{5D9E9913-A097-4939-98A6-1F590A647D41}"/>
    <hyperlink ref="B22" r:id="rId20" display="https://www.ifbappliances.com/ci1832a223gn1" xr:uid="{0293A471-45C6-40AA-8C60-21EE5D1D7D4E}"/>
    <hyperlink ref="B23" r:id="rId21" display="https://www.ifbappliances.com/ci1833a223gm1" xr:uid="{BCB061E9-C609-4449-86D7-102476810EFF}"/>
    <hyperlink ref="B24" r:id="rId22" display="https://www.ifbappliances.com/ci1832d223gn1" xr:uid="{4AE06D39-1396-4F0E-BDD4-7BCFABFEE942}"/>
    <hyperlink ref="B25" r:id="rId23" display="https://www.ifbappliances.com/ci1831g223gn1" xr:uid="{CD30BC35-CCC3-4C20-AC2F-33EB63C12243}"/>
    <hyperlink ref="B26" r:id="rId24" display="https://www.ifbappliances.com/ci1833f223gm1" xr:uid="{E051FE61-591D-405A-96BC-C340CC761BF3}"/>
    <hyperlink ref="B27" r:id="rId25" display="https://www.ifbappliances.com/ci1333a113gn1" xr:uid="{18567B81-2DBC-4737-AA6C-90AD3BFCB918}"/>
    <hyperlink ref="B28" r:id="rId26" display="https://www.ifbappliances.com/ci1332d113gn1" xr:uid="{797A3761-BBDC-4B7E-BA71-006C46979C63}"/>
    <hyperlink ref="B29" r:id="rId27" display="https://www.ifbappliances.com/ci1333e113gn1" xr:uid="{18EB114E-532E-4941-9F1B-C422088851F7}"/>
    <hyperlink ref="B30" r:id="rId28" display="https://www.ifbappliances.com/iahi24x23g3c" xr:uid="{7B6F689C-830F-4EAA-8416-166A42BB40B1}"/>
    <hyperlink ref="B31" r:id="rId29" display="https://www.ifbappliances.com/c12432a323g4" xr:uid="{E0277F11-63CD-4F0B-AEEF-BEAE4968102E}"/>
    <hyperlink ref="B32" r:id="rId30" display="https://www.ifbappliances.com/ci1833e223gn1" xr:uid="{83D32576-7F31-4C66-ADA0-83D7D6962ABA}"/>
    <hyperlink ref="B14" r:id="rId31" display="https://www.ifbappliances.com/ci1451g213gn1" xr:uid="{8275B77C-EE5B-4D0C-B875-508057F0374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CA5C-A35D-4622-83FA-92C977CD9D4C}">
  <sheetPr codeName="Sheet8"/>
  <dimension ref="A1:AS5"/>
  <sheetViews>
    <sheetView workbookViewId="0">
      <selection activeCell="A2" sqref="A2:L5"/>
    </sheetView>
  </sheetViews>
  <sheetFormatPr defaultRowHeight="15" x14ac:dyDescent="0.25"/>
  <cols>
    <col min="2" max="2" width="13.28515625" bestFit="1" customWidth="1"/>
    <col min="3" max="3" width="20.140625" customWidth="1"/>
    <col min="4" max="4" width="42.140625" customWidth="1"/>
    <col min="6" max="6" width="8.28515625" bestFit="1" customWidth="1"/>
    <col min="7" max="7" width="35.5703125" customWidth="1"/>
    <col min="8" max="8" width="6" bestFit="1" customWidth="1"/>
    <col min="9" max="9" width="6" customWidth="1"/>
    <col min="10" max="10" width="11.42578125" bestFit="1" customWidth="1"/>
    <col min="11" max="11" width="11.42578125" customWidth="1"/>
    <col min="12" max="12" width="6.140625" bestFit="1" customWidth="1"/>
    <col min="13" max="13" width="10.140625" bestFit="1" customWidth="1"/>
    <col min="14" max="14" width="5" bestFit="1" customWidth="1"/>
    <col min="15" max="15" width="7.42578125" bestFit="1" customWidth="1"/>
    <col min="16" max="16" width="13.42578125" bestFit="1" customWidth="1"/>
    <col min="17" max="17" width="19.42578125" bestFit="1" customWidth="1"/>
    <col min="18" max="18" width="20.140625" bestFit="1" customWidth="1"/>
    <col min="19" max="19" width="10.85546875" bestFit="1" customWidth="1"/>
    <col min="20" max="20" width="7.7109375" bestFit="1" customWidth="1"/>
    <col min="21" max="21" width="4.140625" bestFit="1" customWidth="1"/>
    <col min="22" max="22" width="12.28515625" bestFit="1" customWidth="1"/>
    <col min="23" max="23" width="16.85546875" bestFit="1" customWidth="1"/>
    <col min="24" max="24" width="12.42578125" bestFit="1" customWidth="1"/>
    <col min="25" max="25" width="15.42578125" bestFit="1" customWidth="1"/>
    <col min="26" max="26" width="7.5703125" bestFit="1" customWidth="1"/>
    <col min="27" max="27" width="6.7109375" bestFit="1" customWidth="1"/>
    <col min="28" max="28" width="4.85546875" bestFit="1" customWidth="1"/>
    <col min="29" max="29" width="5.85546875" bestFit="1" customWidth="1"/>
    <col min="30" max="30" width="5.140625" bestFit="1" customWidth="1"/>
    <col min="31" max="31" width="11.42578125" bestFit="1" customWidth="1"/>
    <col min="32" max="32" width="10.140625" bestFit="1" customWidth="1"/>
    <col min="33" max="33" width="23.85546875" bestFit="1" customWidth="1"/>
    <col min="34" max="34" width="25.85546875" bestFit="1" customWidth="1"/>
    <col min="35" max="35" width="14.85546875" bestFit="1" customWidth="1"/>
    <col min="36" max="36" width="11.5703125" bestFit="1" customWidth="1"/>
    <col min="37" max="37" width="13.5703125" bestFit="1" customWidth="1"/>
    <col min="38" max="38" width="6.42578125" bestFit="1" customWidth="1"/>
    <col min="39" max="39" width="8.5703125" bestFit="1" customWidth="1"/>
    <col min="40" max="40" width="6.42578125" bestFit="1" customWidth="1"/>
    <col min="41" max="41" width="10.5703125" bestFit="1" customWidth="1"/>
    <col min="42" max="42" width="9.28515625" bestFit="1" customWidth="1"/>
    <col min="43" max="43" width="10.28515625" bestFit="1" customWidth="1"/>
    <col min="44" max="44" width="6.85546875" bestFit="1" customWidth="1"/>
    <col min="45" max="45" width="22" bestFit="1" customWidth="1"/>
  </cols>
  <sheetData>
    <row r="1" spans="1:45" x14ac:dyDescent="0.25">
      <c r="A1" s="4" t="s">
        <v>837</v>
      </c>
      <c r="B1" s="4" t="s">
        <v>66</v>
      </c>
      <c r="C1" s="4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/>
      <c r="J1" s="4" t="s">
        <v>70</v>
      </c>
      <c r="K1" s="4" t="s">
        <v>840</v>
      </c>
      <c r="L1" s="4" t="s">
        <v>72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80</v>
      </c>
      <c r="T1" s="4" t="s">
        <v>82</v>
      </c>
      <c r="U1" s="4" t="s">
        <v>84</v>
      </c>
      <c r="V1" s="4" t="s">
        <v>85</v>
      </c>
      <c r="W1" s="4" t="s">
        <v>86</v>
      </c>
      <c r="X1" s="4" t="s">
        <v>87</v>
      </c>
      <c r="Y1" s="4" t="s">
        <v>88</v>
      </c>
      <c r="Z1" s="4" t="s">
        <v>89</v>
      </c>
      <c r="AA1" s="4" t="s">
        <v>90</v>
      </c>
      <c r="AB1" s="4" t="s">
        <v>91</v>
      </c>
      <c r="AC1" s="4" t="s">
        <v>110</v>
      </c>
      <c r="AD1" s="4" t="s">
        <v>129</v>
      </c>
      <c r="AE1" s="4" t="s">
        <v>274</v>
      </c>
      <c r="AF1" s="4" t="s">
        <v>451</v>
      </c>
      <c r="AG1" s="4" t="s">
        <v>92</v>
      </c>
      <c r="AH1" s="4" t="s">
        <v>93</v>
      </c>
      <c r="AI1" s="4" t="s">
        <v>94</v>
      </c>
      <c r="AJ1" s="4" t="s">
        <v>95</v>
      </c>
      <c r="AK1" s="4" t="s">
        <v>96</v>
      </c>
      <c r="AL1" s="4" t="s">
        <v>112</v>
      </c>
      <c r="AM1" s="4" t="s">
        <v>113</v>
      </c>
      <c r="AN1" s="4" t="s">
        <v>114</v>
      </c>
      <c r="AO1" s="4" t="s">
        <v>118</v>
      </c>
      <c r="AP1" s="4" t="s">
        <v>120</v>
      </c>
      <c r="AQ1" s="4" t="s">
        <v>122</v>
      </c>
      <c r="AR1" s="4" t="s">
        <v>459</v>
      </c>
      <c r="AS1" s="4" t="s">
        <v>463</v>
      </c>
    </row>
    <row r="2" spans="1:45" x14ac:dyDescent="0.25">
      <c r="A2">
        <v>1</v>
      </c>
      <c r="B2" s="1" t="s">
        <v>453</v>
      </c>
      <c r="C2" s="6">
        <v>8903287024528</v>
      </c>
      <c r="D2" s="7" t="str">
        <f>VLOOKUP(C2,[1]Sheet1!$A$2:$E$1223,2,0)&amp;", "&amp;VLOOKUP(C2,[1]Sheet1!$A$2:$E$1223,3,0)&amp;", "&amp;VLOOKUP(C2,[1]Sheet1!$A$2:$E$1223,5,0)</f>
        <v>WD EXECUTIVE ZXS 8.5/6.5 KG, WD, 73990</v>
      </c>
      <c r="E2" t="s">
        <v>457</v>
      </c>
      <c r="F2" t="s">
        <v>457</v>
      </c>
      <c r="G2" t="s">
        <v>761</v>
      </c>
      <c r="H2">
        <v>73990</v>
      </c>
      <c r="J2" s="2">
        <f>H2-(H2*0.08)</f>
        <v>68070.8</v>
      </c>
      <c r="K2" s="2" t="str">
        <f>VLOOKUP(B2,[2]WD!$B$2:$BA$100,43,0)</f>
        <v>A++</v>
      </c>
      <c r="L2" t="s">
        <v>73</v>
      </c>
      <c r="M2" t="s">
        <v>458</v>
      </c>
      <c r="N2">
        <v>1400</v>
      </c>
      <c r="O2">
        <v>75</v>
      </c>
      <c r="P2">
        <v>5</v>
      </c>
      <c r="Q2">
        <v>8.9</v>
      </c>
      <c r="R2">
        <v>0.06</v>
      </c>
      <c r="S2" t="s">
        <v>81</v>
      </c>
      <c r="T2" t="s">
        <v>83</v>
      </c>
      <c r="U2" t="s">
        <v>97</v>
      </c>
      <c r="V2" t="s">
        <v>98</v>
      </c>
      <c r="W2" t="s">
        <v>99</v>
      </c>
      <c r="X2" t="s">
        <v>100</v>
      </c>
      <c r="Y2" t="s">
        <v>101</v>
      </c>
      <c r="Z2" t="s">
        <v>104</v>
      </c>
      <c r="AA2" t="s">
        <v>102</v>
      </c>
      <c r="AB2" t="s">
        <v>103</v>
      </c>
      <c r="AC2" t="s">
        <v>111</v>
      </c>
      <c r="AE2" t="s">
        <v>461</v>
      </c>
      <c r="AF2" t="s">
        <v>462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115</v>
      </c>
      <c r="AM2" t="s">
        <v>116</v>
      </c>
      <c r="AO2" t="s">
        <v>119</v>
      </c>
      <c r="AP2" t="s">
        <v>121</v>
      </c>
      <c r="AQ2" t="s">
        <v>123</v>
      </c>
      <c r="AR2" t="s">
        <v>460</v>
      </c>
      <c r="AS2" t="s">
        <v>464</v>
      </c>
    </row>
    <row r="3" spans="1:45" x14ac:dyDescent="0.25">
      <c r="A3">
        <v>2</v>
      </c>
      <c r="B3" s="1" t="s">
        <v>454</v>
      </c>
      <c r="C3" s="6">
        <v>8903287030178</v>
      </c>
      <c r="D3" s="7" t="str">
        <f>VLOOKUP(C3,[1]Sheet1!$A$2:$E$1223,2,0)&amp;", "&amp;VLOOKUP(C3,[1]Sheet1!$A$2:$E$1223,3,0)&amp;", "&amp;VLOOKUP(C3,[1]Sheet1!$A$2:$E$1223,5,0)</f>
        <v>WD EXECUTIVE ZXB 8.5/6.5 KG, WD, 78490</v>
      </c>
      <c r="E3" t="s">
        <v>457</v>
      </c>
      <c r="F3" t="s">
        <v>457</v>
      </c>
      <c r="G3" t="s">
        <v>762</v>
      </c>
      <c r="H3">
        <v>78490</v>
      </c>
      <c r="J3" s="2">
        <f t="shared" ref="J3:J5" si="0">H3-(H3*0.08)</f>
        <v>72210.8</v>
      </c>
      <c r="K3" s="2" t="str">
        <f>VLOOKUP(B3,[2]WD!$B$2:$BA$100,43,0)</f>
        <v>A++</v>
      </c>
      <c r="L3" t="s">
        <v>73</v>
      </c>
      <c r="M3" t="s">
        <v>458</v>
      </c>
      <c r="N3">
        <v>1400</v>
      </c>
      <c r="O3">
        <v>75</v>
      </c>
      <c r="P3">
        <v>5</v>
      </c>
      <c r="Q3">
        <v>8.9</v>
      </c>
      <c r="R3">
        <v>0.06</v>
      </c>
      <c r="S3" t="s">
        <v>133</v>
      </c>
      <c r="T3" t="s">
        <v>83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  <c r="Z3" t="s">
        <v>104</v>
      </c>
      <c r="AA3" t="s">
        <v>102</v>
      </c>
      <c r="AB3" t="s">
        <v>103</v>
      </c>
      <c r="AE3" t="s">
        <v>461</v>
      </c>
      <c r="AF3" t="s">
        <v>462</v>
      </c>
      <c r="AG3" t="s">
        <v>105</v>
      </c>
      <c r="AH3" t="s">
        <v>106</v>
      </c>
      <c r="AI3" t="s">
        <v>107</v>
      </c>
      <c r="AJ3" t="s">
        <v>108</v>
      </c>
      <c r="AK3" t="s">
        <v>109</v>
      </c>
      <c r="AL3" t="s">
        <v>115</v>
      </c>
      <c r="AM3" t="s">
        <v>116</v>
      </c>
      <c r="AO3" t="s">
        <v>119</v>
      </c>
      <c r="AR3" t="s">
        <v>460</v>
      </c>
      <c r="AS3" t="s">
        <v>464</v>
      </c>
    </row>
    <row r="4" spans="1:45" x14ac:dyDescent="0.25">
      <c r="A4">
        <v>3</v>
      </c>
      <c r="B4" s="1" t="s">
        <v>455</v>
      </c>
      <c r="C4" s="6">
        <v>8903287030161</v>
      </c>
      <c r="D4" s="7" t="str">
        <f>VLOOKUP(C4,[1]Sheet1!$A$2:$E$1223,2,0)&amp;", "&amp;VLOOKUP(C4,[1]Sheet1!$A$2:$E$1223,3,0)&amp;", "&amp;VLOOKUP(C4,[1]Sheet1!$A$2:$E$1223,5,0)</f>
        <v>WD EXECUTIVE ZXV 8.5/6.5 KG, WD, 78990</v>
      </c>
      <c r="E4" t="s">
        <v>457</v>
      </c>
      <c r="F4" t="s">
        <v>457</v>
      </c>
      <c r="G4" t="s">
        <v>763</v>
      </c>
      <c r="H4">
        <v>78990</v>
      </c>
      <c r="J4" s="2">
        <f t="shared" si="0"/>
        <v>72670.8</v>
      </c>
      <c r="K4" s="2" t="str">
        <f>VLOOKUP(B4,[2]WD!$B$2:$BA$100,43,0)</f>
        <v>A++</v>
      </c>
      <c r="L4" t="s">
        <v>73</v>
      </c>
      <c r="M4" t="s">
        <v>458</v>
      </c>
      <c r="N4">
        <v>1400</v>
      </c>
      <c r="O4">
        <v>75</v>
      </c>
      <c r="P4">
        <v>5</v>
      </c>
      <c r="Q4">
        <v>8.9</v>
      </c>
      <c r="R4">
        <v>0.06</v>
      </c>
      <c r="S4" t="s">
        <v>465</v>
      </c>
      <c r="T4" t="s">
        <v>83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 t="s">
        <v>104</v>
      </c>
      <c r="AA4" t="s">
        <v>102</v>
      </c>
      <c r="AB4" t="s">
        <v>103</v>
      </c>
      <c r="AE4" t="s">
        <v>461</v>
      </c>
      <c r="AF4" t="s">
        <v>462</v>
      </c>
      <c r="AG4" t="s">
        <v>105</v>
      </c>
      <c r="AH4" t="s">
        <v>106</v>
      </c>
      <c r="AI4" t="s">
        <v>107</v>
      </c>
      <c r="AJ4" t="s">
        <v>108</v>
      </c>
      <c r="AK4" t="s">
        <v>109</v>
      </c>
      <c r="AL4" t="s">
        <v>115</v>
      </c>
      <c r="AM4" t="s">
        <v>116</v>
      </c>
      <c r="AO4" t="s">
        <v>119</v>
      </c>
      <c r="AR4" t="s">
        <v>460</v>
      </c>
      <c r="AS4" t="s">
        <v>464</v>
      </c>
    </row>
    <row r="5" spans="1:45" x14ac:dyDescent="0.25">
      <c r="A5">
        <v>4</v>
      </c>
      <c r="B5" s="1" t="s">
        <v>456</v>
      </c>
      <c r="C5" s="6">
        <v>8903287024535</v>
      </c>
      <c r="D5" s="7" t="str">
        <f>VLOOKUP(C5,[1]Sheet1!$A$2:$E$1223,2,0)&amp;", "&amp;VLOOKUP(C5,[1]Sheet1!$A$2:$E$1223,3,0)&amp;", "&amp;VLOOKUP(C5,[1]Sheet1!$A$2:$E$1223,5,0)</f>
        <v>WD EXECUTIVE ZXM 8.5/6.5 KG, WD, 76990</v>
      </c>
      <c r="E5" t="s">
        <v>457</v>
      </c>
      <c r="F5" t="s">
        <v>457</v>
      </c>
      <c r="G5" t="s">
        <v>764</v>
      </c>
      <c r="H5">
        <v>76990</v>
      </c>
      <c r="J5" s="2">
        <f t="shared" si="0"/>
        <v>70830.8</v>
      </c>
      <c r="K5" s="2" t="str">
        <f>VLOOKUP(B5,[2]WD!$B$2:$BA$100,43,0)</f>
        <v>A++</v>
      </c>
      <c r="L5" t="s">
        <v>73</v>
      </c>
      <c r="M5" t="s">
        <v>458</v>
      </c>
      <c r="N5">
        <v>1400</v>
      </c>
      <c r="O5">
        <v>75</v>
      </c>
      <c r="P5">
        <v>5</v>
      </c>
      <c r="Q5">
        <v>8.9</v>
      </c>
      <c r="R5">
        <v>0.06</v>
      </c>
      <c r="S5" t="s">
        <v>124</v>
      </c>
      <c r="T5" t="s">
        <v>83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104</v>
      </c>
      <c r="AA5" t="s">
        <v>102</v>
      </c>
      <c r="AB5" t="s">
        <v>103</v>
      </c>
      <c r="AC5" t="s">
        <v>111</v>
      </c>
      <c r="AE5" t="s">
        <v>461</v>
      </c>
      <c r="AF5" t="s">
        <v>462</v>
      </c>
      <c r="AG5" t="s">
        <v>105</v>
      </c>
      <c r="AH5" t="s">
        <v>106</v>
      </c>
      <c r="AI5" t="s">
        <v>107</v>
      </c>
      <c r="AJ5" t="s">
        <v>108</v>
      </c>
      <c r="AK5" t="s">
        <v>109</v>
      </c>
      <c r="AL5" t="s">
        <v>115</v>
      </c>
      <c r="AM5" t="s">
        <v>116</v>
      </c>
      <c r="AO5" t="s">
        <v>119</v>
      </c>
      <c r="AP5" t="s">
        <v>121</v>
      </c>
      <c r="AQ5" t="s">
        <v>123</v>
      </c>
      <c r="AR5" t="s">
        <v>460</v>
      </c>
      <c r="AS5" t="s">
        <v>464</v>
      </c>
    </row>
  </sheetData>
  <hyperlinks>
    <hyperlink ref="B2" r:id="rId1" display="https://www.ifbappliances.com/executive-zxs-8-5-6-5-2-5-1400rpm" xr:uid="{8463E47A-1D51-4495-BA26-FD6F12B3BD09}"/>
    <hyperlink ref="B3" r:id="rId2" display="https://www.ifbappliances.com/executive-zxb" xr:uid="{5076DD07-DB2E-45D0-9B20-86270CDBA338}"/>
    <hyperlink ref="B4" r:id="rId3" display="https://www.ifbappliances.com/executive-zxv" xr:uid="{6EB9FAE6-5763-4B4B-873C-755038B54650}"/>
    <hyperlink ref="B5" r:id="rId4" display="https://www.ifbappliances.com/executive-zxm-8-5-6-5-2-5-1400rpm" xr:uid="{11CC9321-08A0-49E3-BFF3-4C9A0A40A4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7E7F-118A-4B4D-89DB-E427F3C93B4D}">
  <sheetPr codeName="Sheet9"/>
  <dimension ref="A1:AC49"/>
  <sheetViews>
    <sheetView workbookViewId="0">
      <selection activeCell="A2" sqref="A2:L49"/>
    </sheetView>
  </sheetViews>
  <sheetFormatPr defaultRowHeight="15" x14ac:dyDescent="0.25"/>
  <cols>
    <col min="2" max="2" width="15.140625" bestFit="1" customWidth="1"/>
    <col min="3" max="4" width="15.140625" customWidth="1"/>
    <col min="5" max="5" width="9.140625" bestFit="1" customWidth="1"/>
    <col min="6" max="6" width="8.28515625" bestFit="1" customWidth="1"/>
    <col min="7" max="7" width="43.5703125" bestFit="1" customWidth="1"/>
    <col min="8" max="9" width="12.42578125" customWidth="1"/>
    <col min="10" max="10" width="11.42578125" bestFit="1" customWidth="1"/>
    <col min="11" max="11" width="11.42578125" customWidth="1"/>
    <col min="12" max="12" width="6.140625" bestFit="1" customWidth="1"/>
    <col min="13" max="13" width="8.85546875" bestFit="1" customWidth="1"/>
    <col min="14" max="14" width="7.42578125" bestFit="1" customWidth="1"/>
    <col min="15" max="15" width="10.7109375" bestFit="1" customWidth="1"/>
    <col min="16" max="16" width="7" bestFit="1" customWidth="1"/>
    <col min="17" max="17" width="12.5703125" bestFit="1" customWidth="1"/>
    <col min="18" max="18" width="12.7109375" bestFit="1" customWidth="1"/>
    <col min="19" max="19" width="20.28515625" bestFit="1" customWidth="1"/>
    <col min="20" max="20" width="13.140625" bestFit="1" customWidth="1"/>
    <col min="21" max="21" width="8.140625" bestFit="1" customWidth="1"/>
    <col min="22" max="22" width="26.28515625" bestFit="1" customWidth="1"/>
    <col min="23" max="23" width="14.140625" bestFit="1" customWidth="1"/>
    <col min="24" max="24" width="13.5703125" bestFit="1" customWidth="1"/>
    <col min="25" max="25" width="11.7109375" bestFit="1" customWidth="1"/>
    <col min="26" max="26" width="10.140625" bestFit="1" customWidth="1"/>
    <col min="27" max="27" width="13.85546875" bestFit="1" customWidth="1"/>
    <col min="28" max="28" width="23.5703125" bestFit="1" customWidth="1"/>
    <col min="29" max="29" width="16.42578125" bestFit="1" customWidth="1"/>
  </cols>
  <sheetData>
    <row r="1" spans="1:29" x14ac:dyDescent="0.25">
      <c r="A1" s="4" t="s">
        <v>837</v>
      </c>
      <c r="B1" s="4" t="s">
        <v>66</v>
      </c>
      <c r="C1" s="4" t="s">
        <v>836</v>
      </c>
      <c r="D1" s="4"/>
      <c r="E1" s="4" t="s">
        <v>67</v>
      </c>
      <c r="F1" s="4" t="s">
        <v>68</v>
      </c>
      <c r="G1" s="4" t="s">
        <v>69</v>
      </c>
      <c r="H1" s="4" t="s">
        <v>71</v>
      </c>
      <c r="I1" s="4"/>
      <c r="J1" s="4" t="s">
        <v>70</v>
      </c>
      <c r="K1" s="4" t="s">
        <v>840</v>
      </c>
      <c r="L1" s="4" t="s">
        <v>72</v>
      </c>
      <c r="M1" s="4" t="s">
        <v>74</v>
      </c>
      <c r="N1" s="4" t="s">
        <v>76</v>
      </c>
      <c r="O1" s="4" t="s">
        <v>375</v>
      </c>
      <c r="P1" s="4" t="s">
        <v>202</v>
      </c>
      <c r="Q1" s="4" t="s">
        <v>84</v>
      </c>
      <c r="R1" s="4" t="s">
        <v>85</v>
      </c>
      <c r="S1" s="4" t="s">
        <v>86</v>
      </c>
      <c r="T1" s="4" t="s">
        <v>87</v>
      </c>
      <c r="U1" s="4" t="s">
        <v>88</v>
      </c>
      <c r="V1" s="4" t="s">
        <v>89</v>
      </c>
      <c r="W1" s="4" t="s">
        <v>90</v>
      </c>
      <c r="X1" s="4" t="s">
        <v>91</v>
      </c>
      <c r="Y1" s="4" t="s">
        <v>110</v>
      </c>
      <c r="Z1" s="4" t="s">
        <v>129</v>
      </c>
      <c r="AA1" s="4" t="s">
        <v>274</v>
      </c>
      <c r="AB1" s="4" t="s">
        <v>477</v>
      </c>
      <c r="AC1" s="4" t="s">
        <v>478</v>
      </c>
    </row>
    <row r="2" spans="1:29" x14ac:dyDescent="0.25">
      <c r="A2">
        <v>1</v>
      </c>
      <c r="B2" s="1" t="s">
        <v>481</v>
      </c>
      <c r="C2" s="1"/>
      <c r="D2" s="1"/>
      <c r="E2" t="s">
        <v>323</v>
      </c>
      <c r="F2" t="s">
        <v>467</v>
      </c>
      <c r="G2" t="s">
        <v>765</v>
      </c>
      <c r="H2">
        <v>23650</v>
      </c>
      <c r="J2">
        <f t="shared" ref="J2:J49" si="0">H2-(H2*0.08)</f>
        <v>21758</v>
      </c>
      <c r="K2" t="str">
        <f>VLOOKUP(B2,'[2]RF-Single_Door'!$B$2:$AA$49,26,0)</f>
        <v>A</v>
      </c>
      <c r="L2" t="s">
        <v>73</v>
      </c>
      <c r="M2">
        <v>212</v>
      </c>
      <c r="N2">
        <v>40</v>
      </c>
      <c r="O2">
        <v>4</v>
      </c>
      <c r="P2" t="s">
        <v>133</v>
      </c>
      <c r="Q2" t="s">
        <v>468</v>
      </c>
      <c r="R2" t="s">
        <v>469</v>
      </c>
      <c r="S2" t="s">
        <v>470</v>
      </c>
      <c r="T2" t="s">
        <v>471</v>
      </c>
      <c r="U2" t="s">
        <v>472</v>
      </c>
      <c r="V2" t="s">
        <v>473</v>
      </c>
      <c r="W2" t="s">
        <v>474</v>
      </c>
      <c r="X2" t="s">
        <v>475</v>
      </c>
      <c r="Y2" t="s">
        <v>476</v>
      </c>
      <c r="AB2" t="s">
        <v>479</v>
      </c>
      <c r="AC2" t="s">
        <v>480</v>
      </c>
    </row>
    <row r="3" spans="1:29" x14ac:dyDescent="0.25">
      <c r="A3">
        <v>2</v>
      </c>
      <c r="B3" s="1" t="s">
        <v>482</v>
      </c>
      <c r="C3" s="1"/>
      <c r="D3" s="1"/>
      <c r="E3" t="s">
        <v>323</v>
      </c>
      <c r="F3" t="s">
        <v>467</v>
      </c>
      <c r="G3" t="s">
        <v>766</v>
      </c>
      <c r="H3">
        <v>23900</v>
      </c>
      <c r="J3">
        <f t="shared" si="0"/>
        <v>21988</v>
      </c>
      <c r="K3" t="str">
        <f>VLOOKUP(B3,'[2]RF-Single_Door'!$B$2:$AA$49,26,0)</f>
        <v>A</v>
      </c>
      <c r="L3" t="s">
        <v>73</v>
      </c>
      <c r="M3">
        <v>203</v>
      </c>
      <c r="N3">
        <v>36</v>
      </c>
      <c r="O3">
        <v>5</v>
      </c>
      <c r="P3" t="s">
        <v>528</v>
      </c>
      <c r="Q3" t="s">
        <v>468</v>
      </c>
      <c r="R3" t="s">
        <v>469</v>
      </c>
      <c r="S3" t="s">
        <v>470</v>
      </c>
      <c r="T3" t="s">
        <v>471</v>
      </c>
      <c r="U3" t="s">
        <v>472</v>
      </c>
      <c r="V3" t="s">
        <v>473</v>
      </c>
      <c r="W3" t="s">
        <v>474</v>
      </c>
      <c r="Y3" t="s">
        <v>476</v>
      </c>
      <c r="Z3" t="s">
        <v>529</v>
      </c>
      <c r="AB3" t="s">
        <v>530</v>
      </c>
      <c r="AC3" t="s">
        <v>480</v>
      </c>
    </row>
    <row r="4" spans="1:29" x14ac:dyDescent="0.25">
      <c r="A4">
        <v>3</v>
      </c>
      <c r="B4" s="1" t="s">
        <v>483</v>
      </c>
      <c r="C4" s="1"/>
      <c r="D4" s="1"/>
      <c r="E4" t="s">
        <v>323</v>
      </c>
      <c r="F4" t="s">
        <v>467</v>
      </c>
      <c r="G4" t="s">
        <v>767</v>
      </c>
      <c r="H4">
        <v>23900</v>
      </c>
      <c r="J4">
        <f t="shared" si="0"/>
        <v>21988</v>
      </c>
      <c r="K4" t="str">
        <f>VLOOKUP(B4,'[2]RF-Single_Door'!$B$2:$AA$49,26,0)</f>
        <v>A</v>
      </c>
      <c r="L4" t="s">
        <v>73</v>
      </c>
      <c r="M4">
        <v>203</v>
      </c>
      <c r="N4">
        <v>36</v>
      </c>
      <c r="O4">
        <v>5</v>
      </c>
      <c r="P4" t="s">
        <v>528</v>
      </c>
      <c r="Q4" t="s">
        <v>468</v>
      </c>
      <c r="R4" t="s">
        <v>469</v>
      </c>
      <c r="S4" t="s">
        <v>470</v>
      </c>
      <c r="T4" t="s">
        <v>471</v>
      </c>
      <c r="U4" t="s">
        <v>472</v>
      </c>
      <c r="V4" t="s">
        <v>473</v>
      </c>
      <c r="W4" t="s">
        <v>474</v>
      </c>
      <c r="Y4" t="s">
        <v>476</v>
      </c>
      <c r="Z4" t="s">
        <v>529</v>
      </c>
      <c r="AB4" t="s">
        <v>530</v>
      </c>
      <c r="AC4" t="s">
        <v>480</v>
      </c>
    </row>
    <row r="5" spans="1:29" x14ac:dyDescent="0.25">
      <c r="A5">
        <v>4</v>
      </c>
      <c r="B5" s="1" t="s">
        <v>484</v>
      </c>
      <c r="C5" s="1"/>
      <c r="D5" s="1"/>
      <c r="E5" t="s">
        <v>323</v>
      </c>
      <c r="F5" t="s">
        <v>467</v>
      </c>
      <c r="G5" t="s">
        <v>768</v>
      </c>
      <c r="H5">
        <v>26200</v>
      </c>
      <c r="J5">
        <f t="shared" si="0"/>
        <v>24104</v>
      </c>
      <c r="K5" t="str">
        <f>VLOOKUP(B5,'[2]RF-Single_Door'!$B$2:$AA$49,26,0)</f>
        <v>A+</v>
      </c>
      <c r="L5" t="s">
        <v>73</v>
      </c>
      <c r="M5">
        <v>212</v>
      </c>
      <c r="N5">
        <v>37</v>
      </c>
      <c r="O5">
        <v>5</v>
      </c>
      <c r="P5" t="s">
        <v>221</v>
      </c>
      <c r="Q5" t="s">
        <v>468</v>
      </c>
      <c r="R5" t="s">
        <v>469</v>
      </c>
      <c r="S5" t="s">
        <v>470</v>
      </c>
      <c r="T5" t="s">
        <v>471</v>
      </c>
      <c r="U5" t="s">
        <v>472</v>
      </c>
      <c r="V5" t="s">
        <v>473</v>
      </c>
      <c r="W5" t="s">
        <v>474</v>
      </c>
      <c r="Y5" t="s">
        <v>476</v>
      </c>
      <c r="Z5" t="s">
        <v>529</v>
      </c>
      <c r="AB5" t="s">
        <v>530</v>
      </c>
      <c r="AC5" t="s">
        <v>480</v>
      </c>
    </row>
    <row r="6" spans="1:29" x14ac:dyDescent="0.25">
      <c r="A6">
        <v>5</v>
      </c>
      <c r="B6" s="1" t="s">
        <v>485</v>
      </c>
      <c r="C6" s="1"/>
      <c r="D6" s="1"/>
      <c r="E6" t="s">
        <v>323</v>
      </c>
      <c r="F6" t="s">
        <v>467</v>
      </c>
      <c r="G6" t="s">
        <v>769</v>
      </c>
      <c r="H6">
        <v>26200</v>
      </c>
      <c r="J6">
        <f t="shared" si="0"/>
        <v>24104</v>
      </c>
      <c r="K6" t="str">
        <f>VLOOKUP(B6,'[2]RF-Single_Door'!$B$2:$AA$49,26,0)</f>
        <v>A+</v>
      </c>
      <c r="L6" t="s">
        <v>73</v>
      </c>
      <c r="M6">
        <v>212</v>
      </c>
      <c r="N6">
        <v>37</v>
      </c>
      <c r="O6">
        <v>5</v>
      </c>
      <c r="P6" t="s">
        <v>528</v>
      </c>
      <c r="Q6" t="s">
        <v>468</v>
      </c>
      <c r="R6" t="s">
        <v>469</v>
      </c>
      <c r="S6" t="s">
        <v>470</v>
      </c>
      <c r="T6" t="s">
        <v>471</v>
      </c>
      <c r="U6" t="s">
        <v>472</v>
      </c>
      <c r="V6" t="s">
        <v>473</v>
      </c>
      <c r="W6" t="s">
        <v>474</v>
      </c>
      <c r="Y6" t="s">
        <v>476</v>
      </c>
      <c r="Z6" t="s">
        <v>529</v>
      </c>
      <c r="AB6" t="s">
        <v>530</v>
      </c>
      <c r="AC6" t="s">
        <v>480</v>
      </c>
    </row>
    <row r="7" spans="1:29" x14ac:dyDescent="0.25">
      <c r="A7">
        <v>6</v>
      </c>
      <c r="B7" s="1" t="s">
        <v>486</v>
      </c>
      <c r="C7" s="1"/>
      <c r="D7" s="1"/>
      <c r="E7" t="s">
        <v>323</v>
      </c>
      <c r="F7" t="s">
        <v>467</v>
      </c>
      <c r="G7" t="s">
        <v>770</v>
      </c>
      <c r="H7">
        <v>21550</v>
      </c>
      <c r="J7">
        <f t="shared" si="0"/>
        <v>19826</v>
      </c>
      <c r="K7" t="str">
        <f>VLOOKUP(B7,'[2]RF-Single_Door'!$B$2:$AA$49,26,0)</f>
        <v>B</v>
      </c>
      <c r="L7" t="s">
        <v>73</v>
      </c>
      <c r="M7">
        <v>193</v>
      </c>
      <c r="N7">
        <v>36</v>
      </c>
      <c r="O7">
        <v>2</v>
      </c>
      <c r="P7" t="s">
        <v>133</v>
      </c>
      <c r="Q7" t="s">
        <v>468</v>
      </c>
      <c r="R7" t="s">
        <v>469</v>
      </c>
      <c r="S7" t="s">
        <v>470</v>
      </c>
      <c r="T7" t="s">
        <v>471</v>
      </c>
      <c r="U7" t="s">
        <v>472</v>
      </c>
      <c r="V7" t="s">
        <v>532</v>
      </c>
      <c r="W7" t="s">
        <v>474</v>
      </c>
      <c r="Y7" t="s">
        <v>476</v>
      </c>
      <c r="AB7" t="s">
        <v>479</v>
      </c>
      <c r="AC7" t="s">
        <v>480</v>
      </c>
    </row>
    <row r="8" spans="1:29" x14ac:dyDescent="0.25">
      <c r="A8">
        <v>7</v>
      </c>
      <c r="B8" s="1" t="s">
        <v>487</v>
      </c>
      <c r="C8" s="1"/>
      <c r="D8" s="1"/>
      <c r="E8" t="s">
        <v>323</v>
      </c>
      <c r="F8" t="s">
        <v>467</v>
      </c>
      <c r="G8" t="s">
        <v>771</v>
      </c>
      <c r="H8">
        <v>23650</v>
      </c>
      <c r="J8">
        <f t="shared" si="0"/>
        <v>21758</v>
      </c>
      <c r="K8" t="str">
        <f>VLOOKUP(B8,'[2]RF-Single_Door'!$B$2:$AA$49,26,0)</f>
        <v>A</v>
      </c>
      <c r="L8" t="s">
        <v>73</v>
      </c>
      <c r="M8">
        <v>203</v>
      </c>
      <c r="N8">
        <v>39</v>
      </c>
      <c r="O8">
        <v>3</v>
      </c>
      <c r="P8" t="s">
        <v>133</v>
      </c>
      <c r="Q8" t="s">
        <v>468</v>
      </c>
      <c r="R8" t="s">
        <v>469</v>
      </c>
      <c r="S8" t="s">
        <v>470</v>
      </c>
      <c r="T8" t="s">
        <v>471</v>
      </c>
      <c r="U8" t="s">
        <v>472</v>
      </c>
      <c r="V8" t="s">
        <v>473</v>
      </c>
      <c r="W8" t="s">
        <v>474</v>
      </c>
      <c r="Y8" t="s">
        <v>476</v>
      </c>
      <c r="AB8" t="s">
        <v>479</v>
      </c>
      <c r="AC8" t="s">
        <v>480</v>
      </c>
    </row>
    <row r="9" spans="1:29" x14ac:dyDescent="0.25">
      <c r="A9">
        <v>8</v>
      </c>
      <c r="B9" s="1" t="s">
        <v>488</v>
      </c>
      <c r="C9" s="1"/>
      <c r="D9" s="1"/>
      <c r="E9" t="s">
        <v>323</v>
      </c>
      <c r="F9" t="s">
        <v>467</v>
      </c>
      <c r="G9" t="s">
        <v>772</v>
      </c>
      <c r="H9">
        <v>25050</v>
      </c>
      <c r="J9">
        <f t="shared" si="0"/>
        <v>23046</v>
      </c>
      <c r="K9" t="str">
        <f>VLOOKUP(B9,'[2]RF-Single_Door'!$B$2:$AA$49,26,0)</f>
        <v>A+</v>
      </c>
      <c r="L9" t="s">
        <v>73</v>
      </c>
      <c r="M9">
        <v>203</v>
      </c>
      <c r="N9">
        <v>39</v>
      </c>
      <c r="O9">
        <v>5</v>
      </c>
      <c r="P9" t="s">
        <v>133</v>
      </c>
      <c r="Q9" t="s">
        <v>468</v>
      </c>
      <c r="R9" t="s">
        <v>469</v>
      </c>
      <c r="S9" t="s">
        <v>470</v>
      </c>
      <c r="T9" t="s">
        <v>471</v>
      </c>
      <c r="U9" t="s">
        <v>472</v>
      </c>
      <c r="V9" t="s">
        <v>473</v>
      </c>
      <c r="W9" t="s">
        <v>474</v>
      </c>
      <c r="Y9" t="s">
        <v>476</v>
      </c>
      <c r="AB9" t="s">
        <v>479</v>
      </c>
      <c r="AC9" t="s">
        <v>480</v>
      </c>
    </row>
    <row r="10" spans="1:29" x14ac:dyDescent="0.25">
      <c r="A10">
        <v>9</v>
      </c>
      <c r="B10" s="1" t="s">
        <v>466</v>
      </c>
      <c r="C10" s="1"/>
      <c r="D10" s="1"/>
      <c r="E10" t="s">
        <v>323</v>
      </c>
      <c r="F10" t="s">
        <v>467</v>
      </c>
      <c r="G10" t="s">
        <v>773</v>
      </c>
      <c r="H10">
        <v>28250</v>
      </c>
      <c r="J10">
        <f t="shared" si="0"/>
        <v>25990</v>
      </c>
      <c r="K10" t="str">
        <f>VLOOKUP(B10,'[2]RF-Single_Door'!$B$2:$AA$49,26,0)</f>
        <v>A++</v>
      </c>
      <c r="L10" t="s">
        <v>73</v>
      </c>
      <c r="M10">
        <v>212</v>
      </c>
      <c r="N10">
        <v>40</v>
      </c>
      <c r="O10">
        <v>4</v>
      </c>
      <c r="P10" t="s">
        <v>133</v>
      </c>
      <c r="Q10" t="s">
        <v>468</v>
      </c>
      <c r="R10" t="s">
        <v>469</v>
      </c>
      <c r="S10" t="s">
        <v>470</v>
      </c>
      <c r="T10" t="s">
        <v>471</v>
      </c>
      <c r="U10" t="s">
        <v>472</v>
      </c>
      <c r="V10" t="s">
        <v>473</v>
      </c>
      <c r="W10" t="s">
        <v>474</v>
      </c>
      <c r="X10" t="s">
        <v>475</v>
      </c>
      <c r="Y10" t="s">
        <v>476</v>
      </c>
      <c r="AB10" t="s">
        <v>479</v>
      </c>
      <c r="AC10" t="s">
        <v>480</v>
      </c>
    </row>
    <row r="11" spans="1:29" x14ac:dyDescent="0.25">
      <c r="A11">
        <v>10</v>
      </c>
      <c r="B11" s="1" t="s">
        <v>489</v>
      </c>
      <c r="C11" s="1"/>
      <c r="D11" s="1"/>
      <c r="E11" t="s">
        <v>323</v>
      </c>
      <c r="F11" t="s">
        <v>467</v>
      </c>
      <c r="G11" t="s">
        <v>774</v>
      </c>
      <c r="H11">
        <v>29050</v>
      </c>
      <c r="J11">
        <f t="shared" si="0"/>
        <v>26726</v>
      </c>
      <c r="K11" t="str">
        <f>VLOOKUP(B11,'[2]RF-Single_Door'!$B$2:$AA$49,26,0)</f>
        <v>A++</v>
      </c>
      <c r="L11" t="s">
        <v>73</v>
      </c>
      <c r="M11">
        <v>212</v>
      </c>
      <c r="N11">
        <v>39</v>
      </c>
      <c r="O11">
        <v>4</v>
      </c>
      <c r="P11" t="s">
        <v>133</v>
      </c>
      <c r="Q11" t="s">
        <v>468</v>
      </c>
      <c r="R11" t="s">
        <v>469</v>
      </c>
      <c r="S11" t="s">
        <v>470</v>
      </c>
      <c r="T11" t="s">
        <v>471</v>
      </c>
      <c r="U11" t="s">
        <v>472</v>
      </c>
      <c r="V11" t="s">
        <v>473</v>
      </c>
      <c r="W11" t="s">
        <v>474</v>
      </c>
      <c r="Y11" t="s">
        <v>476</v>
      </c>
      <c r="AB11" t="s">
        <v>530</v>
      </c>
      <c r="AC11" t="s">
        <v>480</v>
      </c>
    </row>
    <row r="12" spans="1:29" x14ac:dyDescent="0.25">
      <c r="A12">
        <v>11</v>
      </c>
      <c r="B12" s="1" t="s">
        <v>490</v>
      </c>
      <c r="C12" s="1"/>
      <c r="D12" s="1"/>
      <c r="E12" t="s">
        <v>323</v>
      </c>
      <c r="F12" t="s">
        <v>467</v>
      </c>
      <c r="G12" t="s">
        <v>775</v>
      </c>
      <c r="H12">
        <v>28250</v>
      </c>
      <c r="J12">
        <f t="shared" si="0"/>
        <v>25990</v>
      </c>
      <c r="K12" t="str">
        <f>VLOOKUP(B12,'[2]RF-Single_Door'!$B$2:$AA$49,26,0)</f>
        <v>A++</v>
      </c>
      <c r="L12" t="s">
        <v>73</v>
      </c>
      <c r="M12">
        <v>212</v>
      </c>
      <c r="N12">
        <v>39</v>
      </c>
      <c r="O12">
        <v>4</v>
      </c>
      <c r="P12" t="s">
        <v>133</v>
      </c>
      <c r="Q12" t="s">
        <v>468</v>
      </c>
      <c r="R12" t="s">
        <v>469</v>
      </c>
      <c r="S12" t="s">
        <v>470</v>
      </c>
      <c r="T12" t="s">
        <v>471</v>
      </c>
      <c r="U12" t="s">
        <v>472</v>
      </c>
      <c r="V12" t="s">
        <v>473</v>
      </c>
      <c r="W12" t="s">
        <v>474</v>
      </c>
      <c r="Y12" t="s">
        <v>476</v>
      </c>
      <c r="AB12" t="s">
        <v>530</v>
      </c>
      <c r="AC12" t="s">
        <v>480</v>
      </c>
    </row>
    <row r="13" spans="1:29" x14ac:dyDescent="0.25">
      <c r="A13">
        <v>12</v>
      </c>
      <c r="B13" s="1" t="s">
        <v>491</v>
      </c>
      <c r="C13" s="1"/>
      <c r="D13" s="1"/>
      <c r="E13" t="s">
        <v>323</v>
      </c>
      <c r="F13" t="s">
        <v>467</v>
      </c>
      <c r="G13" t="s">
        <v>776</v>
      </c>
      <c r="H13">
        <v>25050</v>
      </c>
      <c r="J13">
        <f t="shared" si="0"/>
        <v>23046</v>
      </c>
      <c r="K13" t="str">
        <f>VLOOKUP(B13,'[2]RF-Single_Door'!$B$2:$AA$49,26,0)</f>
        <v>A+</v>
      </c>
      <c r="L13" t="s">
        <v>73</v>
      </c>
      <c r="M13">
        <v>203</v>
      </c>
      <c r="N13">
        <v>38</v>
      </c>
      <c r="O13">
        <v>5</v>
      </c>
      <c r="P13" t="s">
        <v>133</v>
      </c>
      <c r="Q13" t="s">
        <v>468</v>
      </c>
      <c r="R13" t="s">
        <v>469</v>
      </c>
      <c r="S13" t="s">
        <v>470</v>
      </c>
      <c r="T13" t="s">
        <v>471</v>
      </c>
      <c r="U13" t="s">
        <v>472</v>
      </c>
      <c r="V13" t="s">
        <v>473</v>
      </c>
      <c r="W13" t="s">
        <v>474</v>
      </c>
      <c r="Y13" t="s">
        <v>476</v>
      </c>
      <c r="AB13" t="s">
        <v>530</v>
      </c>
      <c r="AC13" t="s">
        <v>480</v>
      </c>
    </row>
    <row r="14" spans="1:29" x14ac:dyDescent="0.25">
      <c r="A14">
        <v>13</v>
      </c>
      <c r="B14" s="1" t="s">
        <v>492</v>
      </c>
      <c r="C14" s="1"/>
      <c r="D14" s="1"/>
      <c r="E14" t="s">
        <v>323</v>
      </c>
      <c r="F14" t="s">
        <v>467</v>
      </c>
      <c r="G14" t="s">
        <v>777</v>
      </c>
      <c r="H14">
        <v>23650</v>
      </c>
      <c r="J14">
        <f t="shared" si="0"/>
        <v>21758</v>
      </c>
      <c r="K14" t="str">
        <f>VLOOKUP(B14,'[2]RF-Single_Door'!$B$2:$AA$49,26,0)</f>
        <v>A</v>
      </c>
      <c r="L14" t="s">
        <v>73</v>
      </c>
      <c r="M14">
        <v>203</v>
      </c>
      <c r="N14">
        <v>38</v>
      </c>
      <c r="O14">
        <v>3</v>
      </c>
      <c r="P14" t="s">
        <v>133</v>
      </c>
      <c r="Q14" t="s">
        <v>468</v>
      </c>
      <c r="R14" t="s">
        <v>469</v>
      </c>
      <c r="S14" t="s">
        <v>470</v>
      </c>
      <c r="T14" t="s">
        <v>471</v>
      </c>
      <c r="U14" t="s">
        <v>472</v>
      </c>
      <c r="V14" t="s">
        <v>473</v>
      </c>
      <c r="W14" t="s">
        <v>474</v>
      </c>
      <c r="Y14" t="s">
        <v>476</v>
      </c>
      <c r="AB14" t="s">
        <v>479</v>
      </c>
      <c r="AC14" t="s">
        <v>480</v>
      </c>
    </row>
    <row r="15" spans="1:29" x14ac:dyDescent="0.25">
      <c r="A15">
        <v>14</v>
      </c>
      <c r="B15" s="1" t="s">
        <v>493</v>
      </c>
      <c r="C15" s="1"/>
      <c r="D15" s="1"/>
      <c r="E15" t="s">
        <v>323</v>
      </c>
      <c r="F15" t="s">
        <v>467</v>
      </c>
      <c r="G15" t="s">
        <v>778</v>
      </c>
      <c r="H15">
        <v>23650</v>
      </c>
      <c r="J15">
        <f t="shared" si="0"/>
        <v>21758</v>
      </c>
      <c r="K15" t="str">
        <f>VLOOKUP(B15,'[2]RF-Single_Door'!$B$2:$AA$49,26,0)</f>
        <v>A</v>
      </c>
      <c r="L15" t="s">
        <v>73</v>
      </c>
      <c r="M15">
        <v>203</v>
      </c>
      <c r="N15">
        <v>38</v>
      </c>
      <c r="O15">
        <v>3</v>
      </c>
      <c r="P15" t="s">
        <v>133</v>
      </c>
      <c r="Q15" t="s">
        <v>468</v>
      </c>
      <c r="R15" t="s">
        <v>469</v>
      </c>
      <c r="S15" t="s">
        <v>470</v>
      </c>
      <c r="T15" t="s">
        <v>471</v>
      </c>
      <c r="U15" t="s">
        <v>472</v>
      </c>
      <c r="V15" t="s">
        <v>473</v>
      </c>
      <c r="W15" t="s">
        <v>474</v>
      </c>
      <c r="Y15" t="s">
        <v>476</v>
      </c>
      <c r="AB15" t="s">
        <v>479</v>
      </c>
      <c r="AC15" t="s">
        <v>480</v>
      </c>
    </row>
    <row r="16" spans="1:29" x14ac:dyDescent="0.25">
      <c r="A16">
        <v>15</v>
      </c>
      <c r="B16" s="1" t="s">
        <v>494</v>
      </c>
      <c r="C16" s="1"/>
      <c r="D16" s="1"/>
      <c r="E16" t="s">
        <v>323</v>
      </c>
      <c r="F16" t="s">
        <v>467</v>
      </c>
      <c r="G16" t="s">
        <v>779</v>
      </c>
      <c r="H16">
        <v>22300</v>
      </c>
      <c r="J16">
        <f t="shared" si="0"/>
        <v>20516</v>
      </c>
      <c r="K16" t="str">
        <f>VLOOKUP(B16,'[2]RF-Single_Door'!$B$2:$AA$49,26,0)</f>
        <v>B</v>
      </c>
      <c r="L16" t="s">
        <v>73</v>
      </c>
      <c r="M16">
        <v>193</v>
      </c>
      <c r="N16">
        <v>35</v>
      </c>
      <c r="O16">
        <v>3</v>
      </c>
      <c r="P16" t="s">
        <v>133</v>
      </c>
      <c r="Q16" t="s">
        <v>468</v>
      </c>
      <c r="R16" t="s">
        <v>469</v>
      </c>
      <c r="S16" t="s">
        <v>470</v>
      </c>
      <c r="T16" t="s">
        <v>471</v>
      </c>
      <c r="U16" t="s">
        <v>472</v>
      </c>
      <c r="V16" t="s">
        <v>532</v>
      </c>
      <c r="W16" t="s">
        <v>474</v>
      </c>
      <c r="Y16" t="s">
        <v>476</v>
      </c>
      <c r="AB16" t="s">
        <v>479</v>
      </c>
      <c r="AC16" t="s">
        <v>480</v>
      </c>
    </row>
    <row r="17" spans="1:29" x14ac:dyDescent="0.25">
      <c r="A17">
        <v>16</v>
      </c>
      <c r="B17" s="1" t="s">
        <v>495</v>
      </c>
      <c r="C17" s="1"/>
      <c r="D17" s="1"/>
      <c r="E17" t="s">
        <v>323</v>
      </c>
      <c r="F17" t="s">
        <v>467</v>
      </c>
      <c r="G17" t="s">
        <v>780</v>
      </c>
      <c r="H17">
        <v>22300</v>
      </c>
      <c r="J17">
        <f t="shared" si="0"/>
        <v>20516</v>
      </c>
      <c r="K17" t="str">
        <f>VLOOKUP(B17,'[2]RF-Single_Door'!$B$2:$AA$49,26,0)</f>
        <v>B</v>
      </c>
      <c r="L17" t="s">
        <v>73</v>
      </c>
      <c r="M17">
        <v>193</v>
      </c>
      <c r="N17">
        <v>35</v>
      </c>
      <c r="O17">
        <v>3</v>
      </c>
      <c r="P17" t="s">
        <v>133</v>
      </c>
      <c r="Q17" t="s">
        <v>468</v>
      </c>
      <c r="R17" t="s">
        <v>469</v>
      </c>
      <c r="S17" t="s">
        <v>470</v>
      </c>
      <c r="T17" t="s">
        <v>471</v>
      </c>
      <c r="U17" t="s">
        <v>472</v>
      </c>
      <c r="V17" t="s">
        <v>532</v>
      </c>
      <c r="W17" t="s">
        <v>474</v>
      </c>
      <c r="Y17" t="s">
        <v>476</v>
      </c>
      <c r="AB17" t="s">
        <v>479</v>
      </c>
      <c r="AC17" t="s">
        <v>480</v>
      </c>
    </row>
    <row r="18" spans="1:29" x14ac:dyDescent="0.25">
      <c r="A18">
        <v>17</v>
      </c>
      <c r="B18" s="1" t="s">
        <v>496</v>
      </c>
      <c r="C18" s="1"/>
      <c r="D18" s="1"/>
      <c r="E18" t="s">
        <v>323</v>
      </c>
      <c r="F18" t="s">
        <v>467</v>
      </c>
      <c r="G18" t="s">
        <v>781</v>
      </c>
      <c r="H18">
        <v>21550</v>
      </c>
      <c r="J18">
        <f t="shared" si="0"/>
        <v>19826</v>
      </c>
      <c r="K18" t="str">
        <f>VLOOKUP(B18,'[2]RF-Single_Door'!$B$2:$AA$49,26,0)</f>
        <v>B</v>
      </c>
      <c r="L18" t="s">
        <v>73</v>
      </c>
      <c r="M18">
        <v>193</v>
      </c>
      <c r="N18">
        <v>35</v>
      </c>
      <c r="O18">
        <v>2</v>
      </c>
      <c r="P18" t="s">
        <v>133</v>
      </c>
      <c r="Q18" t="s">
        <v>468</v>
      </c>
      <c r="R18" t="s">
        <v>469</v>
      </c>
      <c r="S18" t="s">
        <v>470</v>
      </c>
      <c r="T18" t="s">
        <v>471</v>
      </c>
      <c r="U18" t="s">
        <v>472</v>
      </c>
      <c r="V18" t="s">
        <v>532</v>
      </c>
      <c r="W18" t="s">
        <v>474</v>
      </c>
      <c r="Y18" t="s">
        <v>476</v>
      </c>
      <c r="AB18" t="s">
        <v>479</v>
      </c>
      <c r="AC18" t="s">
        <v>480</v>
      </c>
    </row>
    <row r="19" spans="1:29" x14ac:dyDescent="0.25">
      <c r="A19">
        <v>18</v>
      </c>
      <c r="B19" s="1" t="s">
        <v>497</v>
      </c>
      <c r="C19" s="1"/>
      <c r="D19" s="1"/>
      <c r="E19" t="s">
        <v>323</v>
      </c>
      <c r="F19" t="s">
        <v>467</v>
      </c>
      <c r="G19" t="s">
        <v>782</v>
      </c>
      <c r="H19">
        <v>27400</v>
      </c>
      <c r="J19">
        <f t="shared" si="0"/>
        <v>25208</v>
      </c>
      <c r="K19" t="str">
        <f>VLOOKUP(B19,'[2]RF-Single_Door'!$B$2:$AA$49,26,0)</f>
        <v>A+</v>
      </c>
      <c r="L19" t="s">
        <v>73</v>
      </c>
      <c r="M19">
        <v>228</v>
      </c>
      <c r="N19">
        <v>40</v>
      </c>
      <c r="O19">
        <v>3</v>
      </c>
      <c r="P19" t="s">
        <v>132</v>
      </c>
      <c r="Q19" t="s">
        <v>468</v>
      </c>
      <c r="R19" t="s">
        <v>469</v>
      </c>
      <c r="S19" t="s">
        <v>470</v>
      </c>
      <c r="T19" t="s">
        <v>471</v>
      </c>
      <c r="U19" t="s">
        <v>472</v>
      </c>
      <c r="V19" t="s">
        <v>473</v>
      </c>
      <c r="W19" t="s">
        <v>474</v>
      </c>
      <c r="Y19" t="s">
        <v>476</v>
      </c>
      <c r="Z19" t="s">
        <v>529</v>
      </c>
      <c r="AB19" t="s">
        <v>530</v>
      </c>
      <c r="AC19" t="s">
        <v>480</v>
      </c>
    </row>
    <row r="20" spans="1:29" x14ac:dyDescent="0.25">
      <c r="A20">
        <v>19</v>
      </c>
      <c r="B20" s="1" t="s">
        <v>498</v>
      </c>
      <c r="C20" s="1"/>
      <c r="D20" s="1"/>
      <c r="E20" t="s">
        <v>323</v>
      </c>
      <c r="F20" t="s">
        <v>467</v>
      </c>
      <c r="G20" t="s">
        <v>783</v>
      </c>
      <c r="H20">
        <v>26400</v>
      </c>
      <c r="J20">
        <f t="shared" si="0"/>
        <v>24288</v>
      </c>
      <c r="K20" t="str">
        <f>VLOOKUP(B20,'[2]RF-Single_Door'!$B$2:$AA$49,26,0)</f>
        <v>A+</v>
      </c>
      <c r="L20" t="s">
        <v>73</v>
      </c>
      <c r="M20">
        <v>212</v>
      </c>
      <c r="N20">
        <v>39</v>
      </c>
      <c r="O20">
        <v>4</v>
      </c>
      <c r="P20" t="s">
        <v>133</v>
      </c>
      <c r="Q20" t="s">
        <v>468</v>
      </c>
      <c r="R20" t="s">
        <v>469</v>
      </c>
      <c r="S20" t="s">
        <v>470</v>
      </c>
      <c r="T20" t="s">
        <v>471</v>
      </c>
      <c r="U20" t="s">
        <v>472</v>
      </c>
      <c r="V20" t="s">
        <v>473</v>
      </c>
      <c r="W20" t="s">
        <v>474</v>
      </c>
      <c r="Y20" t="s">
        <v>476</v>
      </c>
      <c r="Z20" t="s">
        <v>529</v>
      </c>
      <c r="AA20" t="s">
        <v>533</v>
      </c>
      <c r="AB20" t="s">
        <v>530</v>
      </c>
      <c r="AC20" t="s">
        <v>480</v>
      </c>
    </row>
    <row r="21" spans="1:29" x14ac:dyDescent="0.25">
      <c r="A21">
        <v>20</v>
      </c>
      <c r="B21" s="1" t="s">
        <v>499</v>
      </c>
      <c r="C21" s="1"/>
      <c r="D21" s="1"/>
      <c r="E21" t="s">
        <v>323</v>
      </c>
      <c r="F21" t="s">
        <v>467</v>
      </c>
      <c r="G21" t="s">
        <v>784</v>
      </c>
      <c r="H21">
        <v>23650</v>
      </c>
      <c r="J21">
        <f t="shared" si="0"/>
        <v>21758</v>
      </c>
      <c r="K21" t="str">
        <f>VLOOKUP(B21,'[2]RF-Single_Door'!$B$2:$AA$49,26,0)</f>
        <v>A</v>
      </c>
      <c r="L21" t="s">
        <v>73</v>
      </c>
      <c r="M21">
        <v>203</v>
      </c>
      <c r="N21">
        <v>36</v>
      </c>
      <c r="O21">
        <v>5</v>
      </c>
      <c r="P21" t="s">
        <v>221</v>
      </c>
      <c r="Q21" t="s">
        <v>468</v>
      </c>
      <c r="R21" t="s">
        <v>469</v>
      </c>
      <c r="S21" t="s">
        <v>470</v>
      </c>
      <c r="T21" t="s">
        <v>471</v>
      </c>
      <c r="U21" t="s">
        <v>472</v>
      </c>
      <c r="V21" t="s">
        <v>473</v>
      </c>
      <c r="W21" t="s">
        <v>474</v>
      </c>
      <c r="Y21" t="s">
        <v>476</v>
      </c>
      <c r="Z21" t="s">
        <v>529</v>
      </c>
      <c r="AB21" t="s">
        <v>530</v>
      </c>
      <c r="AC21" t="s">
        <v>480</v>
      </c>
    </row>
    <row r="22" spans="1:29" x14ac:dyDescent="0.25">
      <c r="A22">
        <v>21</v>
      </c>
      <c r="B22" s="1" t="s">
        <v>500</v>
      </c>
      <c r="C22" s="1"/>
      <c r="D22" s="1"/>
      <c r="E22" t="s">
        <v>323</v>
      </c>
      <c r="F22" t="s">
        <v>467</v>
      </c>
      <c r="G22" t="s">
        <v>785</v>
      </c>
      <c r="H22">
        <v>22550</v>
      </c>
      <c r="J22">
        <f t="shared" si="0"/>
        <v>20746</v>
      </c>
      <c r="K22" t="str">
        <f>VLOOKUP(B22,'[2]RF-Single_Door'!$B$2:$AA$49,26,0)</f>
        <v>B</v>
      </c>
      <c r="L22" t="s">
        <v>73</v>
      </c>
      <c r="M22">
        <v>203</v>
      </c>
      <c r="N22">
        <v>36</v>
      </c>
      <c r="O22">
        <v>5</v>
      </c>
      <c r="P22" t="s">
        <v>133</v>
      </c>
      <c r="Q22" t="s">
        <v>468</v>
      </c>
      <c r="R22" t="s">
        <v>469</v>
      </c>
      <c r="S22" t="s">
        <v>470</v>
      </c>
      <c r="T22" t="s">
        <v>471</v>
      </c>
      <c r="U22" t="s">
        <v>472</v>
      </c>
      <c r="V22" t="s">
        <v>473</v>
      </c>
      <c r="W22" t="s">
        <v>474</v>
      </c>
      <c r="Y22" t="s">
        <v>476</v>
      </c>
      <c r="Z22" t="s">
        <v>529</v>
      </c>
      <c r="AB22" t="s">
        <v>530</v>
      </c>
      <c r="AC22" t="s">
        <v>480</v>
      </c>
    </row>
    <row r="23" spans="1:29" x14ac:dyDescent="0.25">
      <c r="A23">
        <v>22</v>
      </c>
      <c r="B23" s="1" t="s">
        <v>501</v>
      </c>
      <c r="C23" s="1"/>
      <c r="D23" s="1"/>
      <c r="E23" t="s">
        <v>323</v>
      </c>
      <c r="F23" t="s">
        <v>467</v>
      </c>
      <c r="G23" t="s">
        <v>786</v>
      </c>
      <c r="H23">
        <v>25950</v>
      </c>
      <c r="J23">
        <f t="shared" si="0"/>
        <v>23874</v>
      </c>
      <c r="K23" t="str">
        <f>VLOOKUP(B23,'[2]RF-Single_Door'!$B$2:$AA$49,26,0)</f>
        <v>A+</v>
      </c>
      <c r="L23" t="s">
        <v>73</v>
      </c>
      <c r="M23">
        <v>212</v>
      </c>
      <c r="N23">
        <v>39</v>
      </c>
      <c r="O23">
        <v>5</v>
      </c>
      <c r="P23" t="s">
        <v>221</v>
      </c>
      <c r="R23" t="s">
        <v>469</v>
      </c>
      <c r="S23" t="s">
        <v>470</v>
      </c>
      <c r="T23" t="s">
        <v>471</v>
      </c>
      <c r="U23" t="s">
        <v>472</v>
      </c>
      <c r="V23" t="s">
        <v>473</v>
      </c>
      <c r="W23" t="s">
        <v>474</v>
      </c>
      <c r="Y23" t="s">
        <v>476</v>
      </c>
      <c r="Z23" t="s">
        <v>529</v>
      </c>
      <c r="AA23" t="s">
        <v>533</v>
      </c>
      <c r="AB23" t="s">
        <v>530</v>
      </c>
      <c r="AC23" t="s">
        <v>480</v>
      </c>
    </row>
    <row r="24" spans="1:29" x14ac:dyDescent="0.25">
      <c r="A24">
        <v>23</v>
      </c>
      <c r="B24" s="1" t="s">
        <v>502</v>
      </c>
      <c r="C24" s="1"/>
      <c r="D24" s="1"/>
      <c r="E24" t="s">
        <v>323</v>
      </c>
      <c r="F24" t="s">
        <v>467</v>
      </c>
      <c r="G24" t="s">
        <v>787</v>
      </c>
      <c r="H24">
        <v>18600</v>
      </c>
      <c r="J24">
        <f t="shared" si="0"/>
        <v>17112</v>
      </c>
      <c r="K24" t="str">
        <f>VLOOKUP(B24,'[2]RF-Single_Door'!$B$2:$AA$49,26,0)</f>
        <v>C</v>
      </c>
      <c r="L24" t="s">
        <v>73</v>
      </c>
      <c r="M24">
        <v>193</v>
      </c>
      <c r="N24">
        <v>33</v>
      </c>
      <c r="O24">
        <v>2</v>
      </c>
      <c r="P24" t="s">
        <v>528</v>
      </c>
      <c r="Q24" t="s">
        <v>468</v>
      </c>
      <c r="R24" t="s">
        <v>469</v>
      </c>
      <c r="S24" t="s">
        <v>470</v>
      </c>
      <c r="T24" t="s">
        <v>471</v>
      </c>
      <c r="U24" t="s">
        <v>472</v>
      </c>
      <c r="V24" t="s">
        <v>532</v>
      </c>
      <c r="W24" t="s">
        <v>474</v>
      </c>
      <c r="Y24" t="s">
        <v>476</v>
      </c>
      <c r="Z24" t="s">
        <v>529</v>
      </c>
      <c r="AB24" t="s">
        <v>534</v>
      </c>
      <c r="AC24" t="s">
        <v>480</v>
      </c>
    </row>
    <row r="25" spans="1:29" x14ac:dyDescent="0.25">
      <c r="A25">
        <v>24</v>
      </c>
      <c r="B25" s="1" t="s">
        <v>503</v>
      </c>
      <c r="C25" s="1"/>
      <c r="D25" s="1"/>
      <c r="E25" t="s">
        <v>323</v>
      </c>
      <c r="F25" t="s">
        <v>467</v>
      </c>
      <c r="G25" t="s">
        <v>788</v>
      </c>
      <c r="H25">
        <v>18600</v>
      </c>
      <c r="J25">
        <f t="shared" si="0"/>
        <v>17112</v>
      </c>
      <c r="K25" t="str">
        <f>VLOOKUP(B25,'[2]RF-Single_Door'!$B$2:$AA$49,26,0)</f>
        <v>C</v>
      </c>
      <c r="L25" t="s">
        <v>73</v>
      </c>
      <c r="M25">
        <v>193</v>
      </c>
      <c r="N25">
        <v>33</v>
      </c>
      <c r="O25">
        <v>2</v>
      </c>
      <c r="P25" t="s">
        <v>221</v>
      </c>
      <c r="Q25" t="s">
        <v>468</v>
      </c>
      <c r="R25" t="s">
        <v>469</v>
      </c>
      <c r="S25" t="s">
        <v>470</v>
      </c>
      <c r="T25" t="s">
        <v>471</v>
      </c>
      <c r="U25" t="s">
        <v>472</v>
      </c>
      <c r="V25" t="s">
        <v>532</v>
      </c>
      <c r="W25" t="s">
        <v>474</v>
      </c>
      <c r="Y25" t="s">
        <v>476</v>
      </c>
      <c r="Z25" t="s">
        <v>529</v>
      </c>
      <c r="AB25" t="s">
        <v>534</v>
      </c>
      <c r="AC25" t="s">
        <v>480</v>
      </c>
    </row>
    <row r="26" spans="1:29" x14ac:dyDescent="0.25">
      <c r="A26">
        <v>25</v>
      </c>
      <c r="B26" s="1" t="s">
        <v>504</v>
      </c>
      <c r="C26" s="1"/>
      <c r="D26" s="1"/>
      <c r="E26" t="s">
        <v>323</v>
      </c>
      <c r="F26" t="s">
        <v>467</v>
      </c>
      <c r="G26" t="s">
        <v>789</v>
      </c>
      <c r="H26">
        <v>20250</v>
      </c>
      <c r="J26">
        <f t="shared" si="0"/>
        <v>18630</v>
      </c>
      <c r="K26" t="str">
        <f>VLOOKUP(B26,'[2]RF-Single_Door'!$B$2:$AA$49,26,0)</f>
        <v>B</v>
      </c>
      <c r="L26" t="s">
        <v>73</v>
      </c>
      <c r="M26">
        <v>203</v>
      </c>
      <c r="N26">
        <v>36</v>
      </c>
      <c r="O26">
        <v>2</v>
      </c>
      <c r="P26" t="s">
        <v>221</v>
      </c>
      <c r="Q26" t="s">
        <v>468</v>
      </c>
      <c r="R26" t="s">
        <v>469</v>
      </c>
      <c r="S26" t="s">
        <v>470</v>
      </c>
      <c r="T26" t="s">
        <v>471</v>
      </c>
      <c r="U26" t="s">
        <v>472</v>
      </c>
      <c r="V26" t="s">
        <v>473</v>
      </c>
      <c r="W26" t="s">
        <v>474</v>
      </c>
      <c r="Y26" t="s">
        <v>476</v>
      </c>
      <c r="Z26" t="s">
        <v>529</v>
      </c>
      <c r="AB26" t="s">
        <v>534</v>
      </c>
      <c r="AC26" t="s">
        <v>480</v>
      </c>
    </row>
    <row r="27" spans="1:29" x14ac:dyDescent="0.25">
      <c r="A27">
        <v>26</v>
      </c>
      <c r="B27" s="1" t="s">
        <v>505</v>
      </c>
      <c r="C27" s="1"/>
      <c r="D27" s="1"/>
      <c r="E27" t="s">
        <v>323</v>
      </c>
      <c r="F27" t="s">
        <v>467</v>
      </c>
      <c r="G27" t="s">
        <v>790</v>
      </c>
      <c r="H27">
        <v>19600</v>
      </c>
      <c r="J27">
        <f t="shared" si="0"/>
        <v>18032</v>
      </c>
      <c r="K27" t="str">
        <f>VLOOKUP(B27,'[2]RF-Single_Door'!$B$2:$AA$49,26,0)</f>
        <v>C</v>
      </c>
      <c r="L27" t="s">
        <v>73</v>
      </c>
      <c r="M27">
        <v>193</v>
      </c>
      <c r="N27">
        <v>33</v>
      </c>
      <c r="O27">
        <v>2</v>
      </c>
      <c r="P27" t="s">
        <v>133</v>
      </c>
      <c r="Q27" t="s">
        <v>468</v>
      </c>
      <c r="R27" t="s">
        <v>469</v>
      </c>
      <c r="S27" t="s">
        <v>470</v>
      </c>
      <c r="T27" t="s">
        <v>471</v>
      </c>
      <c r="U27" t="s">
        <v>472</v>
      </c>
      <c r="V27" t="s">
        <v>532</v>
      </c>
      <c r="W27" t="s">
        <v>474</v>
      </c>
      <c r="Y27" t="s">
        <v>476</v>
      </c>
      <c r="Z27" t="s">
        <v>529</v>
      </c>
      <c r="AB27" t="s">
        <v>534</v>
      </c>
      <c r="AC27" t="s">
        <v>480</v>
      </c>
    </row>
    <row r="28" spans="1:29" x14ac:dyDescent="0.25">
      <c r="A28">
        <v>27</v>
      </c>
      <c r="B28" s="1" t="s">
        <v>506</v>
      </c>
      <c r="C28" s="1"/>
      <c r="D28" s="1"/>
      <c r="E28" t="s">
        <v>323</v>
      </c>
      <c r="F28" t="s">
        <v>467</v>
      </c>
      <c r="G28" t="s">
        <v>791</v>
      </c>
      <c r="H28">
        <v>19600</v>
      </c>
      <c r="J28">
        <f t="shared" si="0"/>
        <v>18032</v>
      </c>
      <c r="K28" t="str">
        <f>VLOOKUP(B28,'[2]RF-Single_Door'!$B$2:$AA$49,26,0)</f>
        <v>C</v>
      </c>
      <c r="L28" t="s">
        <v>73</v>
      </c>
      <c r="M28">
        <v>193</v>
      </c>
      <c r="N28">
        <v>33</v>
      </c>
      <c r="O28">
        <v>2</v>
      </c>
      <c r="P28" t="s">
        <v>221</v>
      </c>
      <c r="Q28" t="s">
        <v>468</v>
      </c>
      <c r="R28" t="s">
        <v>469</v>
      </c>
      <c r="S28" t="s">
        <v>470</v>
      </c>
      <c r="T28" t="s">
        <v>471</v>
      </c>
      <c r="U28" t="s">
        <v>472</v>
      </c>
      <c r="V28" t="s">
        <v>532</v>
      </c>
      <c r="W28" t="s">
        <v>474</v>
      </c>
      <c r="Y28" t="s">
        <v>476</v>
      </c>
      <c r="Z28" t="s">
        <v>529</v>
      </c>
      <c r="AB28" t="s">
        <v>534</v>
      </c>
      <c r="AC28" t="s">
        <v>480</v>
      </c>
    </row>
    <row r="29" spans="1:29" x14ac:dyDescent="0.25">
      <c r="A29">
        <v>28</v>
      </c>
      <c r="B29" s="1" t="s">
        <v>507</v>
      </c>
      <c r="C29" s="1"/>
      <c r="D29" s="1"/>
      <c r="E29" t="s">
        <v>323</v>
      </c>
      <c r="F29" t="s">
        <v>467</v>
      </c>
      <c r="G29" t="s">
        <v>792</v>
      </c>
      <c r="H29">
        <v>23200</v>
      </c>
      <c r="J29">
        <f t="shared" si="0"/>
        <v>21344</v>
      </c>
      <c r="K29" t="str">
        <f>VLOOKUP(B29,'[2]RF-Single_Door'!$B$2:$AA$49,26,0)</f>
        <v>B</v>
      </c>
      <c r="L29" t="s">
        <v>73</v>
      </c>
      <c r="M29">
        <v>212</v>
      </c>
      <c r="N29">
        <v>39</v>
      </c>
      <c r="O29">
        <v>2</v>
      </c>
      <c r="P29" t="s">
        <v>133</v>
      </c>
      <c r="Q29" t="s">
        <v>468</v>
      </c>
      <c r="R29" t="s">
        <v>469</v>
      </c>
      <c r="S29" t="s">
        <v>470</v>
      </c>
      <c r="T29" t="s">
        <v>471</v>
      </c>
      <c r="U29" t="s">
        <v>472</v>
      </c>
      <c r="V29" t="s">
        <v>473</v>
      </c>
      <c r="W29" t="s">
        <v>474</v>
      </c>
      <c r="Y29" t="s">
        <v>476</v>
      </c>
      <c r="Z29" t="s">
        <v>529</v>
      </c>
      <c r="AB29" t="s">
        <v>534</v>
      </c>
      <c r="AC29" t="s">
        <v>480</v>
      </c>
    </row>
    <row r="30" spans="1:29" x14ac:dyDescent="0.25">
      <c r="A30">
        <v>29</v>
      </c>
      <c r="B30" s="1" t="s">
        <v>508</v>
      </c>
      <c r="C30" s="1"/>
      <c r="D30" s="1"/>
      <c r="E30" t="s">
        <v>323</v>
      </c>
      <c r="F30" t="s">
        <v>467</v>
      </c>
      <c r="G30" t="s">
        <v>793</v>
      </c>
      <c r="H30">
        <v>22450</v>
      </c>
      <c r="J30">
        <f t="shared" si="0"/>
        <v>20654</v>
      </c>
      <c r="K30" t="str">
        <f>VLOOKUP(B30,'[2]RF-Single_Door'!$B$2:$AA$49,26,0)</f>
        <v>B</v>
      </c>
      <c r="L30" t="s">
        <v>73</v>
      </c>
      <c r="M30">
        <v>203</v>
      </c>
      <c r="N30">
        <v>36</v>
      </c>
      <c r="O30">
        <v>3</v>
      </c>
      <c r="P30" t="s">
        <v>528</v>
      </c>
      <c r="Q30" t="s">
        <v>468</v>
      </c>
      <c r="R30" t="s">
        <v>469</v>
      </c>
      <c r="S30" t="s">
        <v>470</v>
      </c>
      <c r="T30" t="s">
        <v>471</v>
      </c>
      <c r="U30" t="s">
        <v>472</v>
      </c>
      <c r="V30" t="s">
        <v>473</v>
      </c>
      <c r="W30" t="s">
        <v>474</v>
      </c>
      <c r="Y30" t="s">
        <v>476</v>
      </c>
      <c r="Z30" t="s">
        <v>529</v>
      </c>
      <c r="AB30" t="s">
        <v>534</v>
      </c>
      <c r="AC30" t="s">
        <v>480</v>
      </c>
    </row>
    <row r="31" spans="1:29" x14ac:dyDescent="0.25">
      <c r="A31">
        <v>30</v>
      </c>
      <c r="B31" s="1" t="s">
        <v>509</v>
      </c>
      <c r="C31" s="1"/>
      <c r="D31" s="1"/>
      <c r="E31" t="s">
        <v>323</v>
      </c>
      <c r="F31" t="s">
        <v>467</v>
      </c>
      <c r="G31" t="s">
        <v>794</v>
      </c>
      <c r="H31">
        <v>20250</v>
      </c>
      <c r="J31">
        <f t="shared" si="0"/>
        <v>18630</v>
      </c>
      <c r="K31" t="str">
        <f>VLOOKUP(B31,'[2]RF-Single_Door'!$B$2:$AA$49,26,0)</f>
        <v>B</v>
      </c>
      <c r="L31" t="s">
        <v>73</v>
      </c>
      <c r="M31">
        <v>203</v>
      </c>
      <c r="N31">
        <v>36</v>
      </c>
      <c r="O31">
        <v>2</v>
      </c>
      <c r="P31" t="s">
        <v>132</v>
      </c>
      <c r="Q31" t="s">
        <v>468</v>
      </c>
      <c r="R31" t="s">
        <v>469</v>
      </c>
      <c r="S31" t="s">
        <v>470</v>
      </c>
      <c r="T31" t="s">
        <v>471</v>
      </c>
      <c r="U31" t="s">
        <v>472</v>
      </c>
      <c r="V31" t="s">
        <v>473</v>
      </c>
      <c r="W31" t="s">
        <v>474</v>
      </c>
      <c r="Y31" t="s">
        <v>476</v>
      </c>
      <c r="Z31" t="s">
        <v>529</v>
      </c>
      <c r="AB31" t="s">
        <v>534</v>
      </c>
      <c r="AC31" t="s">
        <v>480</v>
      </c>
    </row>
    <row r="32" spans="1:29" x14ac:dyDescent="0.25">
      <c r="A32">
        <v>31</v>
      </c>
      <c r="B32" s="3" t="s">
        <v>510</v>
      </c>
      <c r="C32" s="3"/>
      <c r="D32" s="3"/>
      <c r="E32" t="s">
        <v>323</v>
      </c>
      <c r="F32" t="s">
        <v>467</v>
      </c>
      <c r="G32" t="s">
        <v>795</v>
      </c>
      <c r="H32">
        <v>25300</v>
      </c>
      <c r="J32">
        <f t="shared" si="0"/>
        <v>23276</v>
      </c>
      <c r="K32" t="str">
        <f>VLOOKUP(B32,'[2]RF-Single_Door'!$B$2:$AA$49,26,0)</f>
        <v>A+</v>
      </c>
      <c r="L32" t="s">
        <v>73</v>
      </c>
      <c r="M32">
        <v>212</v>
      </c>
      <c r="N32">
        <v>39</v>
      </c>
      <c r="O32">
        <v>5</v>
      </c>
      <c r="P32" t="s">
        <v>132</v>
      </c>
      <c r="Q32" t="s">
        <v>468</v>
      </c>
      <c r="R32" t="s">
        <v>469</v>
      </c>
      <c r="S32" t="s">
        <v>470</v>
      </c>
      <c r="T32" t="s">
        <v>471</v>
      </c>
      <c r="U32" t="s">
        <v>472</v>
      </c>
      <c r="V32" t="s">
        <v>473</v>
      </c>
      <c r="W32" t="s">
        <v>474</v>
      </c>
      <c r="Y32" t="s">
        <v>476</v>
      </c>
      <c r="Z32" t="s">
        <v>529</v>
      </c>
      <c r="AA32" t="s">
        <v>533</v>
      </c>
      <c r="AB32" t="s">
        <v>530</v>
      </c>
      <c r="AC32" t="s">
        <v>480</v>
      </c>
    </row>
    <row r="33" spans="1:29" x14ac:dyDescent="0.25">
      <c r="A33">
        <v>32</v>
      </c>
      <c r="B33" s="3" t="s">
        <v>511</v>
      </c>
      <c r="C33" s="3"/>
      <c r="D33" s="3"/>
      <c r="E33" t="s">
        <v>323</v>
      </c>
      <c r="F33" t="s">
        <v>467</v>
      </c>
      <c r="G33" t="s">
        <v>796</v>
      </c>
      <c r="H33">
        <v>18600</v>
      </c>
      <c r="J33">
        <f t="shared" si="0"/>
        <v>17112</v>
      </c>
      <c r="K33" t="str">
        <f>VLOOKUP(B33,'[2]RF-Single_Door'!$B$2:$AA$49,26,0)</f>
        <v>C</v>
      </c>
      <c r="L33" t="s">
        <v>73</v>
      </c>
      <c r="M33">
        <v>203</v>
      </c>
      <c r="N33">
        <v>36</v>
      </c>
      <c r="O33">
        <v>1</v>
      </c>
      <c r="P33" t="s">
        <v>535</v>
      </c>
      <c r="S33" t="s">
        <v>470</v>
      </c>
      <c r="T33" t="s">
        <v>471</v>
      </c>
      <c r="U33" t="s">
        <v>472</v>
      </c>
      <c r="W33" t="s">
        <v>474</v>
      </c>
      <c r="Y33" t="s">
        <v>476</v>
      </c>
      <c r="AB33" t="s">
        <v>534</v>
      </c>
      <c r="AC33" t="s">
        <v>480</v>
      </c>
    </row>
    <row r="34" spans="1:29" x14ac:dyDescent="0.25">
      <c r="A34">
        <v>33</v>
      </c>
      <c r="B34" s="3" t="s">
        <v>512</v>
      </c>
      <c r="C34" s="3"/>
      <c r="D34" s="3"/>
      <c r="E34" t="s">
        <v>323</v>
      </c>
      <c r="F34" t="s">
        <v>467</v>
      </c>
      <c r="G34" t="s">
        <v>797</v>
      </c>
      <c r="H34">
        <v>18050</v>
      </c>
      <c r="J34">
        <f t="shared" si="0"/>
        <v>16606</v>
      </c>
      <c r="K34" t="str">
        <f>VLOOKUP(B34,'[2]RF-Single_Door'!$B$2:$AA$49,26,0)</f>
        <v>C</v>
      </c>
      <c r="L34" t="s">
        <v>73</v>
      </c>
      <c r="M34">
        <v>193</v>
      </c>
      <c r="N34">
        <v>33</v>
      </c>
      <c r="O34">
        <v>1</v>
      </c>
      <c r="P34" t="s">
        <v>221</v>
      </c>
      <c r="S34" t="s">
        <v>470</v>
      </c>
      <c r="T34" t="s">
        <v>471</v>
      </c>
      <c r="U34" t="s">
        <v>472</v>
      </c>
      <c r="W34" t="s">
        <v>474</v>
      </c>
      <c r="Y34" t="s">
        <v>476</v>
      </c>
      <c r="AA34" t="s">
        <v>533</v>
      </c>
      <c r="AB34" t="s">
        <v>534</v>
      </c>
      <c r="AC34" t="s">
        <v>480</v>
      </c>
    </row>
    <row r="35" spans="1:29" x14ac:dyDescent="0.25">
      <c r="A35">
        <v>34</v>
      </c>
      <c r="B35" s="3" t="s">
        <v>513</v>
      </c>
      <c r="C35" s="3"/>
      <c r="D35" s="3"/>
      <c r="E35" t="s">
        <v>323</v>
      </c>
      <c r="F35" t="s">
        <v>467</v>
      </c>
      <c r="G35" t="s">
        <v>798</v>
      </c>
      <c r="H35">
        <v>18050</v>
      </c>
      <c r="J35">
        <f t="shared" si="0"/>
        <v>16606</v>
      </c>
      <c r="K35" t="str">
        <f>VLOOKUP(B35,'[2]RF-Single_Door'!$B$2:$AA$49,26,0)</f>
        <v>C</v>
      </c>
      <c r="L35" t="s">
        <v>73</v>
      </c>
      <c r="M35">
        <v>193</v>
      </c>
      <c r="N35">
        <v>33</v>
      </c>
      <c r="O35">
        <v>1</v>
      </c>
      <c r="P35" t="s">
        <v>528</v>
      </c>
      <c r="S35" t="s">
        <v>470</v>
      </c>
      <c r="T35" t="s">
        <v>471</v>
      </c>
      <c r="U35" t="s">
        <v>472</v>
      </c>
      <c r="W35" t="s">
        <v>474</v>
      </c>
      <c r="Y35" t="s">
        <v>476</v>
      </c>
      <c r="AA35" t="s">
        <v>533</v>
      </c>
      <c r="AB35" t="s">
        <v>534</v>
      </c>
      <c r="AC35" t="s">
        <v>480</v>
      </c>
    </row>
    <row r="36" spans="1:29" x14ac:dyDescent="0.25">
      <c r="A36">
        <v>35</v>
      </c>
      <c r="B36" s="3" t="s">
        <v>514</v>
      </c>
      <c r="C36" s="3"/>
      <c r="D36" s="3"/>
      <c r="E36" t="s">
        <v>323</v>
      </c>
      <c r="F36" t="s">
        <v>467</v>
      </c>
      <c r="G36" t="s">
        <v>799</v>
      </c>
      <c r="H36">
        <v>17050</v>
      </c>
      <c r="J36">
        <f t="shared" si="0"/>
        <v>15686</v>
      </c>
      <c r="K36" t="str">
        <f>VLOOKUP(B36,'[2]RF-Single_Door'!$B$2:$AA$49,26,0)</f>
        <v>C</v>
      </c>
      <c r="L36" t="s">
        <v>73</v>
      </c>
      <c r="M36">
        <v>193</v>
      </c>
      <c r="N36">
        <v>33</v>
      </c>
      <c r="O36">
        <v>1</v>
      </c>
      <c r="P36" t="s">
        <v>535</v>
      </c>
      <c r="S36" t="s">
        <v>470</v>
      </c>
      <c r="T36" t="s">
        <v>471</v>
      </c>
      <c r="U36" t="s">
        <v>472</v>
      </c>
      <c r="W36" t="s">
        <v>474</v>
      </c>
      <c r="Y36" t="s">
        <v>476</v>
      </c>
      <c r="AA36" t="s">
        <v>533</v>
      </c>
      <c r="AB36" t="s">
        <v>534</v>
      </c>
      <c r="AC36" t="s">
        <v>480</v>
      </c>
    </row>
    <row r="37" spans="1:29" x14ac:dyDescent="0.25">
      <c r="A37">
        <v>36</v>
      </c>
      <c r="B37" s="1" t="s">
        <v>515</v>
      </c>
      <c r="C37" s="1"/>
      <c r="D37" s="1"/>
      <c r="E37" t="s">
        <v>323</v>
      </c>
      <c r="F37" t="s">
        <v>467</v>
      </c>
      <c r="G37" t="s">
        <v>800</v>
      </c>
      <c r="H37">
        <v>21450</v>
      </c>
      <c r="J37">
        <f t="shared" si="0"/>
        <v>19734</v>
      </c>
      <c r="K37" t="str">
        <f>VLOOKUP(B37,'[2]RF-Single_Door'!$B$2:$AA$49,26,0)</f>
        <v>B</v>
      </c>
      <c r="L37" t="s">
        <v>73</v>
      </c>
      <c r="M37">
        <v>203</v>
      </c>
      <c r="N37">
        <v>36</v>
      </c>
      <c r="O37">
        <v>3</v>
      </c>
      <c r="P37" t="s">
        <v>132</v>
      </c>
      <c r="Q37" t="s">
        <v>468</v>
      </c>
      <c r="R37" t="s">
        <v>469</v>
      </c>
      <c r="S37" t="s">
        <v>470</v>
      </c>
      <c r="T37" t="s">
        <v>471</v>
      </c>
      <c r="U37" t="s">
        <v>472</v>
      </c>
      <c r="V37" t="s">
        <v>473</v>
      </c>
      <c r="W37" t="s">
        <v>474</v>
      </c>
      <c r="Y37" t="s">
        <v>476</v>
      </c>
      <c r="Z37" t="s">
        <v>529</v>
      </c>
      <c r="AB37" t="s">
        <v>534</v>
      </c>
      <c r="AC37" t="s">
        <v>480</v>
      </c>
    </row>
    <row r="38" spans="1:29" x14ac:dyDescent="0.25">
      <c r="A38">
        <v>37</v>
      </c>
      <c r="B38" s="1" t="s">
        <v>516</v>
      </c>
      <c r="C38" s="1"/>
      <c r="D38" s="1"/>
      <c r="E38" t="s">
        <v>323</v>
      </c>
      <c r="F38" t="s">
        <v>467</v>
      </c>
      <c r="G38" t="s">
        <v>801</v>
      </c>
      <c r="H38">
        <v>20550</v>
      </c>
      <c r="J38">
        <f t="shared" si="0"/>
        <v>18906</v>
      </c>
      <c r="K38" t="str">
        <f>VLOOKUP(B38,'[2]RF-Single_Door'!$B$2:$AA$49,26,0)</f>
        <v>B</v>
      </c>
      <c r="L38" t="s">
        <v>73</v>
      </c>
      <c r="M38">
        <v>193</v>
      </c>
      <c r="N38">
        <v>33</v>
      </c>
      <c r="O38">
        <v>3</v>
      </c>
      <c r="P38" t="s">
        <v>221</v>
      </c>
      <c r="Q38" t="s">
        <v>468</v>
      </c>
      <c r="R38" t="s">
        <v>469</v>
      </c>
      <c r="S38" t="s">
        <v>470</v>
      </c>
      <c r="T38" t="s">
        <v>471</v>
      </c>
      <c r="U38" t="s">
        <v>472</v>
      </c>
      <c r="V38" t="s">
        <v>532</v>
      </c>
      <c r="W38" t="s">
        <v>474</v>
      </c>
      <c r="Y38" t="s">
        <v>476</v>
      </c>
      <c r="Z38" t="s">
        <v>529</v>
      </c>
      <c r="AB38" t="s">
        <v>534</v>
      </c>
      <c r="AC38" t="s">
        <v>480</v>
      </c>
    </row>
    <row r="39" spans="1:29" x14ac:dyDescent="0.25">
      <c r="A39">
        <v>38</v>
      </c>
      <c r="B39" s="1" t="s">
        <v>517</v>
      </c>
      <c r="C39" s="1"/>
      <c r="D39" s="1"/>
      <c r="E39" t="s">
        <v>323</v>
      </c>
      <c r="F39" t="s">
        <v>467</v>
      </c>
      <c r="G39" t="s">
        <v>802</v>
      </c>
      <c r="H39">
        <v>20550</v>
      </c>
      <c r="J39">
        <f t="shared" si="0"/>
        <v>18906</v>
      </c>
      <c r="K39" t="str">
        <f>VLOOKUP(B39,'[2]RF-Single_Door'!$B$2:$AA$49,26,0)</f>
        <v>B</v>
      </c>
      <c r="L39" t="s">
        <v>73</v>
      </c>
      <c r="M39">
        <v>193</v>
      </c>
      <c r="N39">
        <v>33</v>
      </c>
      <c r="O39">
        <v>3</v>
      </c>
      <c r="P39" t="s">
        <v>528</v>
      </c>
      <c r="Q39" t="s">
        <v>468</v>
      </c>
      <c r="R39" t="s">
        <v>469</v>
      </c>
      <c r="S39" t="s">
        <v>470</v>
      </c>
      <c r="T39" t="s">
        <v>471</v>
      </c>
      <c r="U39" t="s">
        <v>472</v>
      </c>
      <c r="V39" t="s">
        <v>532</v>
      </c>
      <c r="W39" t="s">
        <v>474</v>
      </c>
      <c r="Y39" t="s">
        <v>476</v>
      </c>
      <c r="Z39" t="s">
        <v>529</v>
      </c>
      <c r="AB39" t="s">
        <v>534</v>
      </c>
      <c r="AC39" t="s">
        <v>480</v>
      </c>
    </row>
    <row r="40" spans="1:29" x14ac:dyDescent="0.25">
      <c r="A40">
        <v>39</v>
      </c>
      <c r="B40" s="3" t="s">
        <v>518</v>
      </c>
      <c r="C40" s="3"/>
      <c r="D40" s="3"/>
      <c r="E40" t="s">
        <v>323</v>
      </c>
      <c r="F40" t="s">
        <v>467</v>
      </c>
      <c r="G40" t="s">
        <v>803</v>
      </c>
      <c r="H40">
        <v>28400</v>
      </c>
      <c r="J40">
        <f t="shared" si="0"/>
        <v>26128</v>
      </c>
      <c r="K40" t="str">
        <f>VLOOKUP(B40,'[2]RF-Single_Door'!$B$2:$AA$49,26,0)</f>
        <v>A++</v>
      </c>
      <c r="L40" t="s">
        <v>73</v>
      </c>
      <c r="M40">
        <v>228</v>
      </c>
      <c r="N40">
        <v>40</v>
      </c>
      <c r="O40">
        <v>3</v>
      </c>
      <c r="P40" t="s">
        <v>221</v>
      </c>
      <c r="Q40" t="s">
        <v>468</v>
      </c>
      <c r="R40" t="s">
        <v>469</v>
      </c>
      <c r="S40" t="s">
        <v>470</v>
      </c>
      <c r="T40" t="s">
        <v>471</v>
      </c>
      <c r="U40" t="s">
        <v>472</v>
      </c>
      <c r="V40" t="s">
        <v>473</v>
      </c>
      <c r="W40" t="s">
        <v>474</v>
      </c>
      <c r="Y40" t="s">
        <v>476</v>
      </c>
      <c r="Z40" t="s">
        <v>529</v>
      </c>
      <c r="AB40" t="s">
        <v>534</v>
      </c>
      <c r="AC40" t="s">
        <v>480</v>
      </c>
    </row>
    <row r="41" spans="1:29" x14ac:dyDescent="0.25">
      <c r="A41">
        <v>40</v>
      </c>
      <c r="B41" s="3" t="s">
        <v>519</v>
      </c>
      <c r="C41" s="3"/>
      <c r="D41" s="3"/>
      <c r="E41" t="s">
        <v>323</v>
      </c>
      <c r="F41" t="s">
        <v>467</v>
      </c>
      <c r="G41" t="s">
        <v>804</v>
      </c>
      <c r="H41">
        <v>28400</v>
      </c>
      <c r="J41">
        <f t="shared" si="0"/>
        <v>26128</v>
      </c>
      <c r="K41" t="str">
        <f>VLOOKUP(B41,'[2]RF-Single_Door'!$B$2:$AA$49,26,0)</f>
        <v>A++</v>
      </c>
      <c r="L41" t="s">
        <v>73</v>
      </c>
      <c r="M41">
        <v>228</v>
      </c>
      <c r="N41">
        <v>40</v>
      </c>
      <c r="O41">
        <v>3</v>
      </c>
      <c r="P41" t="s">
        <v>133</v>
      </c>
      <c r="Q41" t="s">
        <v>468</v>
      </c>
      <c r="R41" t="s">
        <v>469</v>
      </c>
      <c r="S41" t="s">
        <v>470</v>
      </c>
      <c r="T41" t="s">
        <v>471</v>
      </c>
      <c r="U41" t="s">
        <v>472</v>
      </c>
      <c r="V41" t="s">
        <v>473</v>
      </c>
      <c r="W41" t="s">
        <v>474</v>
      </c>
      <c r="Y41" t="s">
        <v>476</v>
      </c>
      <c r="Z41" t="s">
        <v>529</v>
      </c>
      <c r="AB41" t="s">
        <v>534</v>
      </c>
      <c r="AC41" t="s">
        <v>480</v>
      </c>
    </row>
    <row r="42" spans="1:29" x14ac:dyDescent="0.25">
      <c r="A42">
        <v>41</v>
      </c>
      <c r="B42" s="1" t="s">
        <v>520</v>
      </c>
      <c r="C42" s="1"/>
      <c r="D42" s="1"/>
      <c r="E42" t="s">
        <v>323</v>
      </c>
      <c r="F42" t="s">
        <v>467</v>
      </c>
      <c r="G42" t="s">
        <v>805</v>
      </c>
      <c r="H42">
        <v>22450</v>
      </c>
      <c r="J42">
        <f t="shared" si="0"/>
        <v>20654</v>
      </c>
      <c r="K42" t="str">
        <f>VLOOKUP(B42,'[2]RF-Single_Door'!$B$2:$AA$49,26,0)</f>
        <v>B</v>
      </c>
      <c r="L42" t="s">
        <v>73</v>
      </c>
      <c r="M42">
        <v>203</v>
      </c>
      <c r="N42">
        <v>36</v>
      </c>
      <c r="O42">
        <v>3</v>
      </c>
      <c r="P42" t="s">
        <v>221</v>
      </c>
      <c r="Q42" t="s">
        <v>468</v>
      </c>
      <c r="R42" t="s">
        <v>469</v>
      </c>
      <c r="S42" t="s">
        <v>470</v>
      </c>
      <c r="T42" t="s">
        <v>471</v>
      </c>
      <c r="U42" t="s">
        <v>472</v>
      </c>
      <c r="V42" t="s">
        <v>473</v>
      </c>
      <c r="W42" t="s">
        <v>474</v>
      </c>
      <c r="Y42" t="s">
        <v>476</v>
      </c>
      <c r="Z42" t="s">
        <v>529</v>
      </c>
      <c r="AB42" t="s">
        <v>534</v>
      </c>
      <c r="AC42" t="s">
        <v>480</v>
      </c>
    </row>
    <row r="43" spans="1:29" x14ac:dyDescent="0.25">
      <c r="A43">
        <v>42</v>
      </c>
      <c r="B43" s="1" t="s">
        <v>521</v>
      </c>
      <c r="C43" s="1"/>
      <c r="D43" s="1"/>
      <c r="E43" t="s">
        <v>323</v>
      </c>
      <c r="F43" t="s">
        <v>467</v>
      </c>
      <c r="G43" t="s">
        <v>806</v>
      </c>
      <c r="H43">
        <v>24200</v>
      </c>
      <c r="J43">
        <f t="shared" si="0"/>
        <v>22264</v>
      </c>
      <c r="K43" t="str">
        <f>VLOOKUP(B43,'[2]RF-Single_Door'!$B$2:$AA$49,26,0)</f>
        <v>A</v>
      </c>
      <c r="L43" t="s">
        <v>73</v>
      </c>
      <c r="M43">
        <v>212</v>
      </c>
      <c r="N43">
        <v>39</v>
      </c>
      <c r="O43">
        <v>4</v>
      </c>
      <c r="P43" t="s">
        <v>132</v>
      </c>
      <c r="Q43" t="s">
        <v>468</v>
      </c>
      <c r="R43" t="s">
        <v>469</v>
      </c>
      <c r="S43" t="s">
        <v>470</v>
      </c>
      <c r="T43" t="s">
        <v>471</v>
      </c>
      <c r="U43" t="s">
        <v>472</v>
      </c>
      <c r="V43" t="s">
        <v>473</v>
      </c>
      <c r="W43" t="s">
        <v>474</v>
      </c>
      <c r="Y43" t="s">
        <v>476</v>
      </c>
      <c r="Z43" t="s">
        <v>529</v>
      </c>
      <c r="AB43" t="s">
        <v>530</v>
      </c>
      <c r="AC43" t="s">
        <v>480</v>
      </c>
    </row>
    <row r="44" spans="1:29" x14ac:dyDescent="0.25">
      <c r="A44">
        <v>43</v>
      </c>
      <c r="B44" s="1" t="s">
        <v>522</v>
      </c>
      <c r="C44" s="1"/>
      <c r="D44" s="1"/>
      <c r="E44" t="s">
        <v>323</v>
      </c>
      <c r="F44" t="s">
        <v>467</v>
      </c>
      <c r="G44" t="s">
        <v>807</v>
      </c>
      <c r="H44">
        <v>24200</v>
      </c>
      <c r="J44">
        <f t="shared" si="0"/>
        <v>22264</v>
      </c>
      <c r="K44" t="str">
        <f>VLOOKUP(B44,'[2]RF-Single_Door'!$B$2:$AA$49,26,0)</f>
        <v>A</v>
      </c>
      <c r="L44" t="s">
        <v>73</v>
      </c>
      <c r="M44">
        <v>212</v>
      </c>
      <c r="N44">
        <v>39</v>
      </c>
      <c r="O44">
        <v>4</v>
      </c>
      <c r="P44" t="s">
        <v>133</v>
      </c>
      <c r="Q44" t="s">
        <v>468</v>
      </c>
      <c r="R44" t="s">
        <v>469</v>
      </c>
      <c r="S44" t="s">
        <v>470</v>
      </c>
      <c r="T44" t="s">
        <v>471</v>
      </c>
      <c r="U44" t="s">
        <v>472</v>
      </c>
      <c r="V44" t="s">
        <v>473</v>
      </c>
      <c r="W44" t="s">
        <v>474</v>
      </c>
      <c r="Y44" t="s">
        <v>476</v>
      </c>
      <c r="Z44" t="s">
        <v>529</v>
      </c>
      <c r="AB44" t="s">
        <v>530</v>
      </c>
      <c r="AC44" t="s">
        <v>480</v>
      </c>
    </row>
    <row r="45" spans="1:29" x14ac:dyDescent="0.25">
      <c r="A45">
        <v>44</v>
      </c>
      <c r="B45" s="1" t="s">
        <v>523</v>
      </c>
      <c r="C45" s="1"/>
      <c r="D45" s="1"/>
      <c r="E45" t="s">
        <v>323</v>
      </c>
      <c r="F45" t="s">
        <v>467</v>
      </c>
      <c r="G45" t="s">
        <v>808</v>
      </c>
      <c r="H45">
        <v>30350</v>
      </c>
      <c r="J45">
        <f t="shared" si="0"/>
        <v>27922</v>
      </c>
      <c r="K45" t="str">
        <f>VLOOKUP(B45,'[2]RF-Single_Door'!$B$2:$AA$49,26,0)</f>
        <v>A++</v>
      </c>
      <c r="L45" t="s">
        <v>73</v>
      </c>
      <c r="M45">
        <v>257</v>
      </c>
      <c r="N45">
        <v>48</v>
      </c>
      <c r="O45">
        <v>4</v>
      </c>
      <c r="P45" t="s">
        <v>132</v>
      </c>
      <c r="Q45" t="s">
        <v>468</v>
      </c>
      <c r="R45" t="s">
        <v>469</v>
      </c>
      <c r="S45" t="s">
        <v>470</v>
      </c>
      <c r="T45" t="s">
        <v>471</v>
      </c>
      <c r="U45" t="s">
        <v>472</v>
      </c>
      <c r="V45" t="s">
        <v>531</v>
      </c>
      <c r="W45" t="s">
        <v>474</v>
      </c>
      <c r="Y45" t="s">
        <v>476</v>
      </c>
      <c r="Z45" t="s">
        <v>529</v>
      </c>
      <c r="AB45" t="s">
        <v>530</v>
      </c>
      <c r="AC45" t="s">
        <v>480</v>
      </c>
    </row>
    <row r="46" spans="1:29" x14ac:dyDescent="0.25">
      <c r="A46">
        <v>45</v>
      </c>
      <c r="B46" s="1" t="s">
        <v>524</v>
      </c>
      <c r="C46" s="1"/>
      <c r="D46" s="1"/>
      <c r="E46" t="s">
        <v>323</v>
      </c>
      <c r="F46" t="s">
        <v>467</v>
      </c>
      <c r="G46" t="s">
        <v>809</v>
      </c>
      <c r="H46">
        <v>25200</v>
      </c>
      <c r="J46">
        <f t="shared" si="0"/>
        <v>23184</v>
      </c>
      <c r="K46" t="str">
        <f>VLOOKUP(B46,'[2]RF-Single_Door'!$B$2:$AA$49,26,0)</f>
        <v>A+</v>
      </c>
      <c r="L46" t="s">
        <v>73</v>
      </c>
      <c r="M46">
        <v>212</v>
      </c>
      <c r="N46">
        <v>39</v>
      </c>
      <c r="O46">
        <v>4</v>
      </c>
      <c r="P46" t="s">
        <v>221</v>
      </c>
      <c r="Q46" t="s">
        <v>468</v>
      </c>
      <c r="R46" t="s">
        <v>469</v>
      </c>
      <c r="S46" t="s">
        <v>470</v>
      </c>
      <c r="T46" t="s">
        <v>471</v>
      </c>
      <c r="U46" t="s">
        <v>472</v>
      </c>
      <c r="V46" t="s">
        <v>473</v>
      </c>
      <c r="W46" t="s">
        <v>474</v>
      </c>
      <c r="Y46" t="s">
        <v>476</v>
      </c>
      <c r="Z46" t="s">
        <v>529</v>
      </c>
      <c r="AB46" t="s">
        <v>530</v>
      </c>
      <c r="AC46" t="s">
        <v>480</v>
      </c>
    </row>
    <row r="47" spans="1:29" x14ac:dyDescent="0.25">
      <c r="A47">
        <v>46</v>
      </c>
      <c r="B47" s="1" t="s">
        <v>525</v>
      </c>
      <c r="C47" s="1"/>
      <c r="D47" s="1"/>
      <c r="E47" t="s">
        <v>323</v>
      </c>
      <c r="F47" t="s">
        <v>467</v>
      </c>
      <c r="G47" t="s">
        <v>810</v>
      </c>
      <c r="H47">
        <v>25200</v>
      </c>
      <c r="J47">
        <f t="shared" si="0"/>
        <v>23184</v>
      </c>
      <c r="K47" t="str">
        <f>VLOOKUP(B47,'[2]RF-Single_Door'!$B$2:$AA$49,26,0)</f>
        <v>A+</v>
      </c>
      <c r="L47" t="s">
        <v>73</v>
      </c>
      <c r="M47">
        <v>212</v>
      </c>
      <c r="N47">
        <v>39</v>
      </c>
      <c r="O47">
        <v>4</v>
      </c>
      <c r="P47" t="s">
        <v>528</v>
      </c>
      <c r="Q47" t="s">
        <v>468</v>
      </c>
      <c r="R47" t="s">
        <v>469</v>
      </c>
      <c r="S47" t="s">
        <v>470</v>
      </c>
      <c r="T47" t="s">
        <v>471</v>
      </c>
      <c r="U47" t="s">
        <v>472</v>
      </c>
      <c r="V47" t="s">
        <v>473</v>
      </c>
      <c r="W47" t="s">
        <v>474</v>
      </c>
      <c r="Y47" t="s">
        <v>476</v>
      </c>
      <c r="Z47" t="s">
        <v>529</v>
      </c>
      <c r="AB47" t="s">
        <v>530</v>
      </c>
      <c r="AC47" t="s">
        <v>480</v>
      </c>
    </row>
    <row r="48" spans="1:29" x14ac:dyDescent="0.25">
      <c r="A48">
        <v>47</v>
      </c>
      <c r="B48" s="1" t="s">
        <v>526</v>
      </c>
      <c r="C48" s="1"/>
      <c r="D48" s="1"/>
      <c r="E48" t="s">
        <v>323</v>
      </c>
      <c r="F48" t="s">
        <v>467</v>
      </c>
      <c r="G48" t="s">
        <v>811</v>
      </c>
      <c r="H48">
        <v>31000</v>
      </c>
      <c r="J48">
        <f t="shared" si="0"/>
        <v>28520</v>
      </c>
      <c r="K48" t="str">
        <f>VLOOKUP(B48,'[2]RF-Single_Door'!$B$2:$AA$49,26,0)</f>
        <v>A++</v>
      </c>
      <c r="L48" t="s">
        <v>73</v>
      </c>
      <c r="M48">
        <v>257</v>
      </c>
      <c r="N48">
        <v>48</v>
      </c>
      <c r="O48">
        <v>4</v>
      </c>
      <c r="P48" t="s">
        <v>221</v>
      </c>
      <c r="Q48" t="s">
        <v>468</v>
      </c>
      <c r="R48" t="s">
        <v>469</v>
      </c>
      <c r="S48" t="s">
        <v>470</v>
      </c>
      <c r="T48" t="s">
        <v>471</v>
      </c>
      <c r="U48" t="s">
        <v>472</v>
      </c>
      <c r="V48" t="s">
        <v>531</v>
      </c>
      <c r="W48" t="s">
        <v>474</v>
      </c>
      <c r="Y48" t="s">
        <v>476</v>
      </c>
      <c r="Z48" t="s">
        <v>529</v>
      </c>
      <c r="AB48" t="s">
        <v>530</v>
      </c>
      <c r="AC48" t="s">
        <v>480</v>
      </c>
    </row>
    <row r="49" spans="1:29" x14ac:dyDescent="0.25">
      <c r="A49">
        <v>48</v>
      </c>
      <c r="B49" s="1" t="s">
        <v>527</v>
      </c>
      <c r="C49" s="1"/>
      <c r="D49" s="1"/>
      <c r="E49" t="s">
        <v>323</v>
      </c>
      <c r="F49" t="s">
        <v>467</v>
      </c>
      <c r="G49" t="s">
        <v>812</v>
      </c>
      <c r="H49">
        <v>19700</v>
      </c>
      <c r="J49">
        <f t="shared" si="0"/>
        <v>18124</v>
      </c>
      <c r="K49" t="str">
        <f>VLOOKUP(B49,'[2]RF-Single_Door'!$B$2:$AA$49,26,0)</f>
        <v>C</v>
      </c>
      <c r="L49" t="s">
        <v>73</v>
      </c>
      <c r="M49">
        <v>193</v>
      </c>
      <c r="N49">
        <v>33</v>
      </c>
      <c r="O49">
        <v>3</v>
      </c>
      <c r="P49" t="s">
        <v>132</v>
      </c>
      <c r="Q49" t="s">
        <v>468</v>
      </c>
      <c r="R49" t="s">
        <v>469</v>
      </c>
      <c r="S49" t="s">
        <v>470</v>
      </c>
      <c r="T49" t="s">
        <v>471</v>
      </c>
      <c r="U49" t="s">
        <v>472</v>
      </c>
      <c r="V49" t="s">
        <v>532</v>
      </c>
      <c r="W49" t="s">
        <v>474</v>
      </c>
      <c r="Y49" t="s">
        <v>476</v>
      </c>
      <c r="Z49" t="s">
        <v>529</v>
      </c>
      <c r="AB49" t="s">
        <v>530</v>
      </c>
      <c r="AC49" t="s">
        <v>480</v>
      </c>
    </row>
  </sheetData>
  <autoFilter ref="A1:AC49" xr:uid="{6FA37E7F-118A-4B4D-89DB-E427F3C93B4D}">
    <sortState xmlns:xlrd2="http://schemas.microsoft.com/office/spreadsheetml/2017/richdata2" ref="A2:AC49">
      <sortCondition ref="A1:A49"/>
    </sortState>
  </autoFilter>
  <phoneticPr fontId="3" type="noConversion"/>
  <hyperlinks>
    <hyperlink ref="B2" r:id="rId1" display="https://www.ifbappliances.com/ifbdc-2235ibb" xr:uid="{C5DE89A8-F481-4AB1-B497-43413476AA74}"/>
    <hyperlink ref="B3" r:id="rId2" display="https://www.ifbappliances.com/ifbdc-2235irp" xr:uid="{DCD2C57F-C01E-4E7C-ABE6-E6677FDD34B1}"/>
    <hyperlink ref="B4" r:id="rId3" display="https://www.ifbappliances.com/ifbdc-2235ibp" xr:uid="{C145E8A6-AC17-4A42-B93E-6D7DB11DEA28}"/>
    <hyperlink ref="B5" r:id="rId4" display="https://www.ifbappliances.com/ifbdc-2325irp" xr:uid="{533BAFB5-B97B-437D-9011-A3ED29C993B2}"/>
    <hyperlink ref="B6" r:id="rId5" display="https://www.ifbappliances.com/ifbdc-2325ibp" xr:uid="{0F36EC83-0C75-495C-BDE7-76D8775A7BD5}"/>
    <hyperlink ref="B7" r:id="rId6" display="https://www.ifbappliances.com/ifbdc-2132fkg" xr:uid="{3558E7CF-79AC-4F97-8F20-49AECFAF4F3B}"/>
    <hyperlink ref="B8" r:id="rId7" display="https://www.ifbappliances.com/ifbdc-2233fkg" xr:uid="{B7E67472-CB40-46BE-894F-C9E527C596F5}"/>
    <hyperlink ref="B9" r:id="rId8" display="https://www.ifbappliances.com/ifbdc-2235ikg" xr:uid="{F26CA856-3D6D-4EF0-9B39-C0CF4353831D}"/>
    <hyperlink ref="B10" r:id="rId9" display="https://www.ifbappliances.com/ifbdc-2324ikg" xr:uid="{C12CF6AF-691B-49B7-A74D-C91DB83C3474}"/>
    <hyperlink ref="B11" r:id="rId10" display="https://www.ifbappliances.com/ifbdc-2325ilg" xr:uid="{71DE772D-851C-40E9-BFCE-00D8B5B09587}"/>
    <hyperlink ref="B12" r:id="rId11" display="https://www.ifbappliances.com/ifbdc-2324irg" xr:uid="{5881F7B2-FCC9-4500-A632-046360515B71}"/>
    <hyperlink ref="B13" r:id="rId12" display="https://www.ifbappliances.com/ifbdc-2235irg" xr:uid="{E4424D6F-EF4A-4742-B328-46771A351A6A}"/>
    <hyperlink ref="B14" r:id="rId13" display="https://www.ifbappliances.com/ifbdc-2233ffg" xr:uid="{6145B8F1-8BE8-4772-B9EA-EB9EC18DFB9E}"/>
    <hyperlink ref="B15" r:id="rId14" display="https://www.ifbappliances.com/ifbdc-2233flg" xr:uid="{D17873D8-0F59-4056-A41C-503E75160D2F}"/>
    <hyperlink ref="B16" r:id="rId15" display="https://www.ifbappliances.com/ifbdc-2133ffg" xr:uid="{5969601D-3F61-428A-A10A-040276142509}"/>
    <hyperlink ref="B17" r:id="rId16" display="https://www.ifbappliances.com/ifbdc-2133flg" xr:uid="{4ACCFFE4-AC9A-44AF-A91C-9EE62F3CD8EC}"/>
    <hyperlink ref="B18" r:id="rId17" display="https://www.ifbappliances.com/ifbdc-2132flg" xr:uid="{A74885DA-67C8-4D70-8114-18FDADFC607F}"/>
    <hyperlink ref="B19" r:id="rId18" display="https://www.ifbappliances.com/ifbdc-2483fbs" xr:uid="{692E2E46-49CF-4238-B687-DB0697204C53}"/>
    <hyperlink ref="B20" r:id="rId19" display="https://www.ifbappliances.com/ifbdc-2324iksu" xr:uid="{804D7A0F-0700-4999-A4FA-0F9264443062}"/>
    <hyperlink ref="B21" r:id="rId20" display="https://www.ifbappliances.com/ifbdc-2235irb" xr:uid="{B66B7304-D3FF-481D-92E8-9FA352FD1CB7}"/>
    <hyperlink ref="B22" r:id="rId21" display="https://www.ifbappliances.com/ifbdc-2235iks" xr:uid="{06B31846-91F2-4C9F-B561-D6BEC1478ED7}"/>
    <hyperlink ref="B23" r:id="rId22" display="https://www.ifbappliances.com/ifbdc-2325irb" xr:uid="{C7546416-820A-486C-943E-2D4D27730007}"/>
    <hyperlink ref="B24" r:id="rId23" display="https://www.ifbappliances.com/ifbdc-2132fcs" xr:uid="{62F94CDB-8D5D-46C5-80EE-D49E4AFD1F6B}"/>
    <hyperlink ref="B25" r:id="rId24" display="https://www.ifbappliances.com/ifbdc-2132fss" xr:uid="{A055448C-ECEA-439F-80C6-16BAAF0535C7}"/>
    <hyperlink ref="B26" r:id="rId25" display="https://www.ifbappliances.com/ifbdc-2232fss" xr:uid="{E403C944-C28B-42EB-93DE-CF752DF77B0E}"/>
    <hyperlink ref="B27" r:id="rId26" display="https://www.ifbappliances.com/ifbdc-2132fbf" xr:uid="{8DA0B38C-767A-4EF3-9691-31F3EA05589A}"/>
    <hyperlink ref="B28" r:id="rId27" display="https://www.ifbappliances.com/ifbdc-2132frf" xr:uid="{97673550-B869-41B0-B6FE-664C8827700B}"/>
    <hyperlink ref="B29" r:id="rId28" display="https://www.ifbappliances.com/ifbdc-2322fbs" xr:uid="{FC768DEF-78FE-4376-83D7-09D1D1741017}"/>
    <hyperlink ref="B30" r:id="rId29" display="https://www.ifbappliances.com/ifbdc-2233fbb" xr:uid="{B585CF2C-B41D-4EF7-B68A-B14F3B6203B2}"/>
    <hyperlink ref="B31" r:id="rId30" display="https://www.ifbappliances.com/ifbdc-2232fas" xr:uid="{746F36CB-C123-48AA-BE84-26FACD4FB6D3}"/>
    <hyperlink ref="B32" r:id="rId31" display="https://www.ifbappliances.com/ifbdc-2325igs" xr:uid="{8F6D9E35-279F-4B70-A8A9-FBB85C8420B7}"/>
    <hyperlink ref="B33" r:id="rId32" display="https://www.ifbappliances.com/ifbdc-2231fss" xr:uid="{76BB6609-0347-4405-9CCD-FBC80BD94A66}"/>
    <hyperlink ref="B34" r:id="rId33" display="https://www.ifbappliances.com/ifbdc-2131frf" xr:uid="{9FB48F78-88EA-43B2-BC67-90E002584927}"/>
    <hyperlink ref="B35" r:id="rId34" display="https://www.ifbappliances.com/ifbdc-2131fbf" xr:uid="{F8F628C9-BB75-411C-9C33-C0D3216D813E}"/>
    <hyperlink ref="B36" r:id="rId35" display="https://www.ifbappliances.com/ifbdc-2131fss" xr:uid="{4C8DC912-859E-41B2-8D98-D57595456080}"/>
    <hyperlink ref="B37" r:id="rId36" display="https://www.ifbappliances.com/ifbdc-2233fbs" xr:uid="{D50A945A-6DC6-48A7-9252-DCDCBBD8886B}"/>
    <hyperlink ref="B38" r:id="rId37" display="https://www.ifbappliances.com/ifbdc-2133frh" xr:uid="{E591C2C4-6446-4503-8ACF-AA5670D4EF01}"/>
    <hyperlink ref="B39" r:id="rId38" display="https://www.ifbappliances.com/ifbdc-2133fbh" xr:uid="{79F221E5-FF51-4ECB-BD46-F018EE36A613}"/>
    <hyperlink ref="B40" r:id="rId39" display="https://www.ifbappliances.com/ifbdc-2483frh" xr:uid="{B1457CFB-BC70-4FB6-89EE-36B1A551855A}"/>
    <hyperlink ref="B41" r:id="rId40" display="https://www.ifbappliances.com/ifbdc-2483fbh" xr:uid="{028BAC52-D068-4D9B-B58D-DE3396B360E4}"/>
    <hyperlink ref="B42" r:id="rId41" display="https://www.ifbappliances.com/ifbdc-2233frb" xr:uid="{EC1AD7A0-16B0-4700-9A26-71E90D450F12}"/>
    <hyperlink ref="B43" r:id="rId42" display="https://www.ifbappliances.com/ifbdc-2324igs" xr:uid="{2D80409D-5810-4B28-A4CF-EA4B17683A9F}"/>
    <hyperlink ref="B44" r:id="rId43" display="https://www.ifbappliances.com/ifbdc-2324iks" xr:uid="{9A6B4559-8464-49CE-8B25-90530D1C25B8}"/>
    <hyperlink ref="B45" r:id="rId44" display="https://www.ifbappliances.com/ifbdc-2774igs" xr:uid="{2E078926-F8D9-48DA-9ECE-308998F04425}"/>
    <hyperlink ref="B46" r:id="rId45" display="https://www.ifbappliances.com/ifbdc-2324irv" xr:uid="{46E686EE-D2E6-44E0-A63A-374FC7D39107}"/>
    <hyperlink ref="B47" r:id="rId46" display="https://www.ifbappliances.com/ifbdc-2324ibv" xr:uid="{A769E981-6CEE-4151-ABF6-BF3194B74EF7}"/>
    <hyperlink ref="B48" r:id="rId47" display="https://www.ifbappliances.com/ifbdc-2774irv" xr:uid="{07C6B661-503B-4C00-8362-70E366BB824D}"/>
    <hyperlink ref="B49" r:id="rId48" display="https://www.ifbappliances.com/ifbdc-2133fbs" xr:uid="{6DC98D58-15CA-4636-994C-AD8780B1798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D49C-1A63-41DE-BDF1-25401B74395B}">
  <sheetPr codeName="Sheet10"/>
  <dimension ref="A1:AD24"/>
  <sheetViews>
    <sheetView workbookViewId="0">
      <selection activeCell="A2" sqref="A2:L24"/>
    </sheetView>
  </sheetViews>
  <sheetFormatPr defaultRowHeight="15" x14ac:dyDescent="0.25"/>
  <cols>
    <col min="2" max="2" width="15" bestFit="1" customWidth="1"/>
    <col min="3" max="4" width="15" customWidth="1"/>
    <col min="5" max="5" width="9.140625" bestFit="1" customWidth="1"/>
    <col min="6" max="6" width="8.28515625" bestFit="1" customWidth="1"/>
    <col min="7" max="7" width="43.28515625" bestFit="1" customWidth="1"/>
    <col min="8" max="8" width="6" bestFit="1" customWidth="1"/>
    <col min="9" max="9" width="6" customWidth="1"/>
    <col min="10" max="10" width="11.42578125" bestFit="1" customWidth="1"/>
    <col min="11" max="11" width="11.42578125" customWidth="1"/>
    <col min="12" max="12" width="6.140625" bestFit="1" customWidth="1"/>
    <col min="13" max="13" width="8.85546875" bestFit="1" customWidth="1"/>
    <col min="14" max="14" width="7.42578125" bestFit="1" customWidth="1"/>
    <col min="15" max="15" width="10.7109375" bestFit="1" customWidth="1"/>
    <col min="16" max="16" width="6" bestFit="1" customWidth="1"/>
    <col min="17" max="17" width="16.42578125" bestFit="1" customWidth="1"/>
    <col min="18" max="18" width="20.28515625" bestFit="1" customWidth="1"/>
    <col min="19" max="19" width="16.42578125" bestFit="1" customWidth="1"/>
    <col min="20" max="20" width="8.140625" bestFit="1" customWidth="1"/>
    <col min="21" max="21" width="26.28515625" bestFit="1" customWidth="1"/>
    <col min="22" max="22" width="14.140625" bestFit="1" customWidth="1"/>
    <col min="23" max="23" width="11.7109375" bestFit="1" customWidth="1"/>
    <col min="24" max="24" width="10.28515625" bestFit="1" customWidth="1"/>
    <col min="25" max="25" width="11" bestFit="1" customWidth="1"/>
    <col min="26" max="26" width="10.140625" bestFit="1" customWidth="1"/>
    <col min="27" max="27" width="13.85546875" bestFit="1" customWidth="1"/>
    <col min="28" max="28" width="15.140625" bestFit="1" customWidth="1"/>
    <col min="29" max="29" width="23.5703125" bestFit="1" customWidth="1"/>
    <col min="30" max="30" width="16.42578125" bestFit="1" customWidth="1"/>
  </cols>
  <sheetData>
    <row r="1" spans="1:30" x14ac:dyDescent="0.25">
      <c r="A1" s="4" t="s">
        <v>837</v>
      </c>
      <c r="B1" s="4" t="s">
        <v>66</v>
      </c>
      <c r="C1" s="4" t="s">
        <v>836</v>
      </c>
      <c r="D1" s="4"/>
      <c r="E1" s="4" t="s">
        <v>67</v>
      </c>
      <c r="F1" s="4" t="s">
        <v>68</v>
      </c>
      <c r="G1" s="4" t="s">
        <v>69</v>
      </c>
      <c r="H1" s="4" t="s">
        <v>71</v>
      </c>
      <c r="I1" s="4"/>
      <c r="J1" s="4" t="s">
        <v>70</v>
      </c>
      <c r="K1" s="4" t="s">
        <v>840</v>
      </c>
      <c r="L1" s="4" t="s">
        <v>72</v>
      </c>
      <c r="M1" s="4" t="s">
        <v>74</v>
      </c>
      <c r="N1" s="4" t="s">
        <v>76</v>
      </c>
      <c r="O1" s="4" t="s">
        <v>375</v>
      </c>
      <c r="P1" s="4" t="s">
        <v>202</v>
      </c>
      <c r="Q1" s="4" t="s">
        <v>84</v>
      </c>
      <c r="R1" s="4" t="s">
        <v>85</v>
      </c>
      <c r="S1" s="4" t="s">
        <v>86</v>
      </c>
      <c r="T1" s="4" t="s">
        <v>87</v>
      </c>
      <c r="U1" s="4" t="s">
        <v>88</v>
      </c>
      <c r="V1" s="4" t="s">
        <v>89</v>
      </c>
      <c r="W1" s="4" t="s">
        <v>90</v>
      </c>
      <c r="X1" s="4" t="s">
        <v>91</v>
      </c>
      <c r="Y1" s="4" t="s">
        <v>110</v>
      </c>
      <c r="Z1" s="4" t="s">
        <v>129</v>
      </c>
      <c r="AA1" s="4" t="s">
        <v>274</v>
      </c>
      <c r="AB1" s="4" t="s">
        <v>451</v>
      </c>
      <c r="AC1" s="4" t="s">
        <v>477</v>
      </c>
      <c r="AD1" s="4" t="s">
        <v>478</v>
      </c>
    </row>
    <row r="2" spans="1:30" x14ac:dyDescent="0.25">
      <c r="A2">
        <v>1</v>
      </c>
      <c r="B2" s="1" t="s">
        <v>536</v>
      </c>
      <c r="C2" s="10" t="e">
        <v>#N/A</v>
      </c>
      <c r="D2" s="10"/>
      <c r="E2" t="s">
        <v>323</v>
      </c>
      <c r="F2" t="s">
        <v>559</v>
      </c>
      <c r="G2" t="s">
        <v>813</v>
      </c>
      <c r="H2">
        <v>42450</v>
      </c>
      <c r="J2" s="2">
        <f>H2-(H2*0.08)</f>
        <v>39054</v>
      </c>
      <c r="K2" s="2" t="str">
        <f>VLOOKUP(B2,'[2]RF-Double_Door'!$B$2:$AB$24,27,0)</f>
        <v>B</v>
      </c>
      <c r="L2" t="s">
        <v>73</v>
      </c>
      <c r="M2">
        <v>260</v>
      </c>
      <c r="N2">
        <v>60</v>
      </c>
      <c r="O2">
        <v>2</v>
      </c>
      <c r="P2" t="s">
        <v>133</v>
      </c>
      <c r="Q2" t="s">
        <v>560</v>
      </c>
      <c r="R2" t="s">
        <v>470</v>
      </c>
      <c r="S2" t="s">
        <v>564</v>
      </c>
      <c r="T2" t="s">
        <v>472</v>
      </c>
      <c r="U2" t="s">
        <v>473</v>
      </c>
      <c r="V2" t="s">
        <v>474</v>
      </c>
      <c r="W2" t="s">
        <v>476</v>
      </c>
      <c r="X2" t="s">
        <v>561</v>
      </c>
      <c r="AC2" t="s">
        <v>479</v>
      </c>
      <c r="AD2" t="s">
        <v>480</v>
      </c>
    </row>
    <row r="3" spans="1:30" x14ac:dyDescent="0.25">
      <c r="A3">
        <v>2</v>
      </c>
      <c r="B3" s="1" t="s">
        <v>537</v>
      </c>
      <c r="C3" s="10" t="e">
        <v>#N/A</v>
      </c>
      <c r="D3" s="10"/>
      <c r="E3" t="s">
        <v>323</v>
      </c>
      <c r="F3" t="s">
        <v>559</v>
      </c>
      <c r="G3" t="s">
        <v>814</v>
      </c>
      <c r="H3">
        <v>53250</v>
      </c>
      <c r="J3" s="2">
        <f t="shared" ref="J3:J24" si="0">H3-(H3*0.08)</f>
        <v>48990</v>
      </c>
      <c r="K3" s="2" t="str">
        <f>VLOOKUP(B3,'[2]RF-Double_Door'!$B$2:$AB$24,27,0)</f>
        <v>A++</v>
      </c>
      <c r="L3" t="s">
        <v>73</v>
      </c>
      <c r="M3">
        <v>306</v>
      </c>
      <c r="N3">
        <v>64</v>
      </c>
      <c r="O3">
        <v>2</v>
      </c>
      <c r="P3" t="s">
        <v>133</v>
      </c>
      <c r="Q3" t="s">
        <v>560</v>
      </c>
      <c r="R3" t="s">
        <v>470</v>
      </c>
      <c r="S3" t="s">
        <v>564</v>
      </c>
      <c r="T3" t="s">
        <v>472</v>
      </c>
      <c r="U3" t="s">
        <v>531</v>
      </c>
      <c r="V3" t="s">
        <v>474</v>
      </c>
      <c r="W3" t="s">
        <v>476</v>
      </c>
      <c r="X3" t="s">
        <v>561</v>
      </c>
      <c r="AC3" t="s">
        <v>530</v>
      </c>
      <c r="AD3" t="s">
        <v>480</v>
      </c>
    </row>
    <row r="4" spans="1:30" x14ac:dyDescent="0.25">
      <c r="A4">
        <v>3</v>
      </c>
      <c r="B4" s="1" t="s">
        <v>538</v>
      </c>
      <c r="C4" s="10" t="e">
        <v>#N/A</v>
      </c>
      <c r="D4" s="10"/>
      <c r="E4" t="s">
        <v>323</v>
      </c>
      <c r="F4" t="s">
        <v>559</v>
      </c>
      <c r="G4" t="s">
        <v>815</v>
      </c>
      <c r="H4">
        <v>42450</v>
      </c>
      <c r="J4" s="2">
        <f t="shared" si="0"/>
        <v>39054</v>
      </c>
      <c r="K4" s="2" t="str">
        <f>VLOOKUP(B4,'[2]RF-Double_Door'!$B$2:$AB$24,27,0)</f>
        <v>B</v>
      </c>
      <c r="L4" t="s">
        <v>73</v>
      </c>
      <c r="M4">
        <v>260</v>
      </c>
      <c r="N4">
        <v>56</v>
      </c>
      <c r="O4">
        <v>2</v>
      </c>
      <c r="P4" t="s">
        <v>133</v>
      </c>
      <c r="Q4" t="s">
        <v>560</v>
      </c>
      <c r="R4" t="s">
        <v>470</v>
      </c>
      <c r="S4" t="s">
        <v>564</v>
      </c>
      <c r="T4" t="s">
        <v>472</v>
      </c>
      <c r="U4" t="s">
        <v>531</v>
      </c>
      <c r="V4" t="s">
        <v>474</v>
      </c>
      <c r="W4" t="s">
        <v>476</v>
      </c>
      <c r="X4" t="s">
        <v>561</v>
      </c>
      <c r="AC4" t="s">
        <v>530</v>
      </c>
      <c r="AD4" t="s">
        <v>480</v>
      </c>
    </row>
    <row r="5" spans="1:30" x14ac:dyDescent="0.25">
      <c r="A5">
        <v>4</v>
      </c>
      <c r="B5" s="1" t="s">
        <v>539</v>
      </c>
      <c r="C5" s="10" t="e">
        <v>#N/A</v>
      </c>
      <c r="D5" s="10"/>
      <c r="E5" t="s">
        <v>323</v>
      </c>
      <c r="F5" t="s">
        <v>559</v>
      </c>
      <c r="G5" t="s">
        <v>816</v>
      </c>
      <c r="H5">
        <v>57100</v>
      </c>
      <c r="J5" s="2">
        <f t="shared" si="0"/>
        <v>52532</v>
      </c>
      <c r="K5" s="2" t="str">
        <f>VLOOKUP(B5,'[2]RF-Double_Door'!$B$2:$AB$24,27,0)</f>
        <v>A++</v>
      </c>
      <c r="L5" t="s">
        <v>73</v>
      </c>
      <c r="M5">
        <v>306</v>
      </c>
      <c r="N5">
        <v>64</v>
      </c>
      <c r="O5">
        <v>2</v>
      </c>
      <c r="P5" t="s">
        <v>133</v>
      </c>
      <c r="Q5" t="s">
        <v>560</v>
      </c>
      <c r="R5" t="s">
        <v>470</v>
      </c>
      <c r="S5" t="s">
        <v>564</v>
      </c>
      <c r="T5" t="s">
        <v>472</v>
      </c>
      <c r="U5" t="s">
        <v>531</v>
      </c>
      <c r="V5" t="s">
        <v>474</v>
      </c>
      <c r="W5" t="s">
        <v>476</v>
      </c>
      <c r="X5" t="s">
        <v>561</v>
      </c>
      <c r="AC5" t="s">
        <v>530</v>
      </c>
      <c r="AD5" t="s">
        <v>480</v>
      </c>
    </row>
    <row r="6" spans="1:30" x14ac:dyDescent="0.25">
      <c r="A6">
        <v>5</v>
      </c>
      <c r="B6" s="1" t="s">
        <v>540</v>
      </c>
      <c r="C6" s="10" t="e">
        <v>#N/A</v>
      </c>
      <c r="D6" s="10"/>
      <c r="E6" t="s">
        <v>323</v>
      </c>
      <c r="F6" t="s">
        <v>559</v>
      </c>
      <c r="G6" t="s">
        <v>817</v>
      </c>
      <c r="H6">
        <v>53250</v>
      </c>
      <c r="J6" s="2">
        <f t="shared" si="0"/>
        <v>48990</v>
      </c>
      <c r="K6" s="2" t="str">
        <f>VLOOKUP(B6,'[2]RF-Double_Door'!$B$2:$AB$24,27,0)</f>
        <v>A++</v>
      </c>
      <c r="L6" t="s">
        <v>73</v>
      </c>
      <c r="M6">
        <v>306</v>
      </c>
      <c r="N6">
        <v>64</v>
      </c>
      <c r="O6">
        <v>3</v>
      </c>
      <c r="P6" t="s">
        <v>133</v>
      </c>
      <c r="Q6" t="s">
        <v>560</v>
      </c>
      <c r="R6" t="s">
        <v>470</v>
      </c>
      <c r="S6" t="s">
        <v>565</v>
      </c>
      <c r="T6" t="s">
        <v>472</v>
      </c>
      <c r="U6" t="s">
        <v>531</v>
      </c>
      <c r="V6" t="s">
        <v>474</v>
      </c>
      <c r="W6" t="s">
        <v>476</v>
      </c>
      <c r="X6" t="s">
        <v>561</v>
      </c>
      <c r="Y6" t="s">
        <v>562</v>
      </c>
      <c r="Z6" t="s">
        <v>529</v>
      </c>
      <c r="AA6" t="s">
        <v>533</v>
      </c>
      <c r="AB6" t="s">
        <v>563</v>
      </c>
      <c r="AC6" t="s">
        <v>530</v>
      </c>
      <c r="AD6" t="s">
        <v>480</v>
      </c>
    </row>
    <row r="7" spans="1:30" x14ac:dyDescent="0.25">
      <c r="A7">
        <v>6</v>
      </c>
      <c r="B7" s="1" t="s">
        <v>541</v>
      </c>
      <c r="C7" s="10" t="e">
        <v>#N/A</v>
      </c>
      <c r="D7" s="10"/>
      <c r="E7" t="s">
        <v>323</v>
      </c>
      <c r="F7" t="s">
        <v>559</v>
      </c>
      <c r="G7" t="s">
        <v>818</v>
      </c>
      <c r="H7">
        <v>42000</v>
      </c>
      <c r="J7" s="2">
        <f t="shared" si="0"/>
        <v>38640</v>
      </c>
      <c r="K7" s="2" t="str">
        <f>VLOOKUP(B7,'[2]RF-Double_Door'!$B$2:$AB$24,27,0)</f>
        <v>B</v>
      </c>
      <c r="L7" t="s">
        <v>73</v>
      </c>
      <c r="M7">
        <v>260</v>
      </c>
      <c r="N7">
        <v>51</v>
      </c>
      <c r="O7">
        <v>3</v>
      </c>
      <c r="P7" t="s">
        <v>132</v>
      </c>
      <c r="Q7" t="s">
        <v>560</v>
      </c>
      <c r="R7" t="s">
        <v>470</v>
      </c>
      <c r="T7" t="s">
        <v>472</v>
      </c>
      <c r="U7" t="s">
        <v>531</v>
      </c>
      <c r="V7" t="s">
        <v>474</v>
      </c>
      <c r="W7" t="s">
        <v>476</v>
      </c>
      <c r="X7" t="s">
        <v>561</v>
      </c>
      <c r="Y7" t="s">
        <v>562</v>
      </c>
      <c r="Z7" t="s">
        <v>529</v>
      </c>
      <c r="AA7" t="s">
        <v>533</v>
      </c>
      <c r="AB7" t="s">
        <v>563</v>
      </c>
      <c r="AC7" t="s">
        <v>530</v>
      </c>
      <c r="AD7" t="s">
        <v>480</v>
      </c>
    </row>
    <row r="8" spans="1:30" x14ac:dyDescent="0.25">
      <c r="A8">
        <v>7</v>
      </c>
      <c r="B8" s="1" t="s">
        <v>542</v>
      </c>
      <c r="C8" s="10" t="e">
        <v>#N/A</v>
      </c>
      <c r="D8" s="10"/>
      <c r="E8" t="s">
        <v>323</v>
      </c>
      <c r="F8" t="s">
        <v>559</v>
      </c>
      <c r="G8" t="s">
        <v>819</v>
      </c>
      <c r="H8">
        <v>53250</v>
      </c>
      <c r="J8" s="2">
        <f t="shared" si="0"/>
        <v>48990</v>
      </c>
      <c r="K8" s="2" t="str">
        <f>VLOOKUP(B8,'[2]RF-Double_Door'!$B$2:$AB$24,27,0)</f>
        <v>A++</v>
      </c>
      <c r="L8" t="s">
        <v>73</v>
      </c>
      <c r="M8">
        <v>306</v>
      </c>
      <c r="N8">
        <v>60</v>
      </c>
      <c r="O8">
        <v>2</v>
      </c>
      <c r="P8" t="s">
        <v>133</v>
      </c>
      <c r="Q8" t="s">
        <v>560</v>
      </c>
      <c r="R8" t="s">
        <v>470</v>
      </c>
      <c r="S8" t="s">
        <v>564</v>
      </c>
      <c r="T8" t="s">
        <v>472</v>
      </c>
      <c r="U8" t="s">
        <v>531</v>
      </c>
      <c r="V8" t="s">
        <v>474</v>
      </c>
      <c r="W8" t="s">
        <v>476</v>
      </c>
      <c r="X8" t="s">
        <v>561</v>
      </c>
      <c r="AC8" t="s">
        <v>530</v>
      </c>
      <c r="AD8" t="s">
        <v>480</v>
      </c>
    </row>
    <row r="9" spans="1:30" x14ac:dyDescent="0.25">
      <c r="A9">
        <v>8</v>
      </c>
      <c r="B9" s="1" t="s">
        <v>543</v>
      </c>
      <c r="C9" s="10" t="e">
        <v>#N/A</v>
      </c>
      <c r="D9" s="10"/>
      <c r="E9" t="s">
        <v>323</v>
      </c>
      <c r="F9" t="s">
        <v>559</v>
      </c>
      <c r="G9" t="s">
        <v>820</v>
      </c>
      <c r="H9">
        <v>47300</v>
      </c>
      <c r="J9" s="2">
        <f t="shared" si="0"/>
        <v>43516</v>
      </c>
      <c r="K9" s="2" t="str">
        <f>VLOOKUP(B9,'[2]RF-Double_Door'!$B$2:$AB$24,27,0)</f>
        <v>A+</v>
      </c>
      <c r="L9" t="s">
        <v>73</v>
      </c>
      <c r="M9">
        <v>285</v>
      </c>
      <c r="N9">
        <v>60</v>
      </c>
      <c r="O9">
        <v>2</v>
      </c>
      <c r="P9" t="s">
        <v>133</v>
      </c>
      <c r="Q9" t="s">
        <v>560</v>
      </c>
      <c r="R9" t="s">
        <v>470</v>
      </c>
      <c r="S9" t="s">
        <v>564</v>
      </c>
      <c r="T9" t="s">
        <v>472</v>
      </c>
      <c r="U9" t="s">
        <v>531</v>
      </c>
      <c r="V9" t="s">
        <v>474</v>
      </c>
      <c r="W9" t="s">
        <v>476</v>
      </c>
      <c r="X9" t="s">
        <v>561</v>
      </c>
      <c r="AC9" t="s">
        <v>530</v>
      </c>
      <c r="AD9" t="s">
        <v>480</v>
      </c>
    </row>
    <row r="10" spans="1:30" x14ac:dyDescent="0.25">
      <c r="A10">
        <v>9</v>
      </c>
      <c r="B10" s="1" t="s">
        <v>544</v>
      </c>
      <c r="C10" s="10" t="e">
        <v>#N/A</v>
      </c>
      <c r="D10" s="10"/>
      <c r="E10" t="s">
        <v>323</v>
      </c>
      <c r="F10" t="s">
        <v>559</v>
      </c>
      <c r="G10" t="s">
        <v>821</v>
      </c>
      <c r="H10">
        <v>47300</v>
      </c>
      <c r="J10" s="2">
        <f t="shared" si="0"/>
        <v>43516</v>
      </c>
      <c r="K10" s="2" t="str">
        <f>VLOOKUP(B10,'[2]RF-Double_Door'!$B$2:$AB$24,27,0)</f>
        <v>A+</v>
      </c>
      <c r="L10" t="s">
        <v>73</v>
      </c>
      <c r="M10">
        <v>285</v>
      </c>
      <c r="N10">
        <v>60</v>
      </c>
      <c r="O10">
        <v>2</v>
      </c>
      <c r="P10" t="s">
        <v>133</v>
      </c>
      <c r="Q10" t="s">
        <v>560</v>
      </c>
      <c r="R10" t="s">
        <v>470</v>
      </c>
      <c r="S10" t="s">
        <v>564</v>
      </c>
      <c r="T10" t="s">
        <v>472</v>
      </c>
      <c r="U10" t="s">
        <v>531</v>
      </c>
      <c r="V10" t="s">
        <v>474</v>
      </c>
      <c r="W10" t="s">
        <v>476</v>
      </c>
      <c r="X10" t="s">
        <v>561</v>
      </c>
      <c r="AC10" t="s">
        <v>530</v>
      </c>
      <c r="AD10" t="s">
        <v>480</v>
      </c>
    </row>
    <row r="11" spans="1:30" x14ac:dyDescent="0.25">
      <c r="A11">
        <v>10</v>
      </c>
      <c r="B11" s="1" t="s">
        <v>545</v>
      </c>
      <c r="C11" s="10" t="e">
        <v>#N/A</v>
      </c>
      <c r="D11" s="10"/>
      <c r="E11" t="s">
        <v>323</v>
      </c>
      <c r="F11" t="s">
        <v>559</v>
      </c>
      <c r="G11" t="s">
        <v>822</v>
      </c>
      <c r="H11">
        <v>44000</v>
      </c>
      <c r="J11" s="2">
        <f t="shared" si="0"/>
        <v>40480</v>
      </c>
      <c r="K11" s="2" t="str">
        <f>VLOOKUP(B11,'[2]RF-Double_Door'!$B$2:$AB$24,27,0)</f>
        <v>A</v>
      </c>
      <c r="L11" t="s">
        <v>73</v>
      </c>
      <c r="M11">
        <v>260</v>
      </c>
      <c r="N11">
        <v>56</v>
      </c>
      <c r="O11">
        <v>2</v>
      </c>
      <c r="P11" t="s">
        <v>133</v>
      </c>
      <c r="Q11" t="s">
        <v>560</v>
      </c>
      <c r="R11" t="s">
        <v>470</v>
      </c>
      <c r="S11" t="s">
        <v>564</v>
      </c>
      <c r="T11" t="s">
        <v>472</v>
      </c>
      <c r="U11" t="s">
        <v>531</v>
      </c>
      <c r="V11" t="s">
        <v>474</v>
      </c>
      <c r="W11" t="s">
        <v>476</v>
      </c>
      <c r="X11" t="s">
        <v>561</v>
      </c>
      <c r="AC11" t="s">
        <v>530</v>
      </c>
      <c r="AD11" t="s">
        <v>480</v>
      </c>
    </row>
    <row r="12" spans="1:30" x14ac:dyDescent="0.25">
      <c r="A12">
        <v>11</v>
      </c>
      <c r="B12" s="1" t="s">
        <v>546</v>
      </c>
      <c r="C12" s="10" t="e">
        <v>#N/A</v>
      </c>
      <c r="D12" s="10"/>
      <c r="E12" t="s">
        <v>323</v>
      </c>
      <c r="F12" t="s">
        <v>559</v>
      </c>
      <c r="G12" t="s">
        <v>823</v>
      </c>
      <c r="H12">
        <v>42450</v>
      </c>
      <c r="J12" s="2">
        <f t="shared" si="0"/>
        <v>39054</v>
      </c>
      <c r="K12" s="2" t="str">
        <f>VLOOKUP(B12,'[2]RF-Double_Door'!$B$2:$AB$24,27,0)</f>
        <v>B</v>
      </c>
      <c r="L12" t="s">
        <v>73</v>
      </c>
      <c r="M12">
        <v>260</v>
      </c>
      <c r="N12">
        <v>60</v>
      </c>
      <c r="O12">
        <v>2</v>
      </c>
      <c r="P12" t="s">
        <v>133</v>
      </c>
      <c r="Q12" t="s">
        <v>560</v>
      </c>
      <c r="R12" t="s">
        <v>470</v>
      </c>
      <c r="S12" t="s">
        <v>564</v>
      </c>
      <c r="T12" t="s">
        <v>472</v>
      </c>
      <c r="U12" t="s">
        <v>531</v>
      </c>
      <c r="V12" t="s">
        <v>474</v>
      </c>
      <c r="W12" t="s">
        <v>476</v>
      </c>
      <c r="X12" t="s">
        <v>561</v>
      </c>
      <c r="AC12" t="s">
        <v>479</v>
      </c>
      <c r="AD12" t="s">
        <v>480</v>
      </c>
    </row>
    <row r="13" spans="1:30" x14ac:dyDescent="0.25">
      <c r="A13">
        <v>12</v>
      </c>
      <c r="B13" s="1" t="s">
        <v>547</v>
      </c>
      <c r="C13" s="10" t="e">
        <v>#N/A</v>
      </c>
      <c r="D13" s="10"/>
      <c r="E13" t="s">
        <v>323</v>
      </c>
      <c r="F13" t="s">
        <v>559</v>
      </c>
      <c r="G13" t="s">
        <v>824</v>
      </c>
      <c r="H13">
        <v>53250</v>
      </c>
      <c r="J13" s="2">
        <f t="shared" si="0"/>
        <v>48990</v>
      </c>
      <c r="K13" s="2" t="str">
        <f>VLOOKUP(B13,'[2]RF-Double_Door'!$B$2:$AB$24,27,0)</f>
        <v>A++</v>
      </c>
      <c r="L13" t="s">
        <v>73</v>
      </c>
      <c r="M13">
        <v>306</v>
      </c>
      <c r="N13">
        <v>57</v>
      </c>
      <c r="O13">
        <v>3</v>
      </c>
      <c r="P13" t="s">
        <v>566</v>
      </c>
      <c r="Q13" t="s">
        <v>560</v>
      </c>
      <c r="R13" t="s">
        <v>470</v>
      </c>
      <c r="S13" t="s">
        <v>565</v>
      </c>
      <c r="T13" t="s">
        <v>472</v>
      </c>
      <c r="U13" t="s">
        <v>531</v>
      </c>
      <c r="V13" t="s">
        <v>474</v>
      </c>
      <c r="W13" t="s">
        <v>476</v>
      </c>
      <c r="X13" t="s">
        <v>561</v>
      </c>
      <c r="Y13" t="s">
        <v>562</v>
      </c>
      <c r="Z13" t="s">
        <v>529</v>
      </c>
      <c r="AA13" t="s">
        <v>533</v>
      </c>
      <c r="AB13" t="s">
        <v>563</v>
      </c>
      <c r="AC13" t="s">
        <v>530</v>
      </c>
      <c r="AD13" t="s">
        <v>480</v>
      </c>
    </row>
    <row r="14" spans="1:30" x14ac:dyDescent="0.25">
      <c r="A14">
        <v>13</v>
      </c>
      <c r="B14" s="1" t="s">
        <v>548</v>
      </c>
      <c r="C14" s="10" t="e">
        <v>#N/A</v>
      </c>
      <c r="D14" s="10"/>
      <c r="E14" t="s">
        <v>323</v>
      </c>
      <c r="F14" t="s">
        <v>559</v>
      </c>
      <c r="G14" t="s">
        <v>825</v>
      </c>
      <c r="H14">
        <v>46860</v>
      </c>
      <c r="J14" s="2">
        <f t="shared" si="0"/>
        <v>43111.199999999997</v>
      </c>
      <c r="K14" s="2" t="str">
        <f>VLOOKUP(B14,'[2]RF-Double_Door'!$B$2:$AB$24,27,0)</f>
        <v>A+</v>
      </c>
      <c r="L14" t="s">
        <v>73</v>
      </c>
      <c r="M14">
        <v>285</v>
      </c>
      <c r="N14">
        <v>55</v>
      </c>
      <c r="O14">
        <v>3</v>
      </c>
      <c r="P14" t="s">
        <v>132</v>
      </c>
      <c r="Q14" t="s">
        <v>560</v>
      </c>
      <c r="R14" t="s">
        <v>470</v>
      </c>
      <c r="S14" t="s">
        <v>565</v>
      </c>
      <c r="T14" t="s">
        <v>472</v>
      </c>
      <c r="U14" t="s">
        <v>531</v>
      </c>
      <c r="V14" t="s">
        <v>474</v>
      </c>
      <c r="W14" t="s">
        <v>476</v>
      </c>
      <c r="X14" t="s">
        <v>561</v>
      </c>
      <c r="Y14" t="s">
        <v>562</v>
      </c>
      <c r="Z14" t="s">
        <v>529</v>
      </c>
      <c r="AA14" t="s">
        <v>533</v>
      </c>
      <c r="AB14" t="s">
        <v>563</v>
      </c>
      <c r="AC14" t="s">
        <v>530</v>
      </c>
      <c r="AD14" t="s">
        <v>480</v>
      </c>
    </row>
    <row r="15" spans="1:30" x14ac:dyDescent="0.25">
      <c r="A15">
        <v>14</v>
      </c>
      <c r="B15" s="1" t="s">
        <v>549</v>
      </c>
      <c r="C15" s="10" t="e">
        <v>#N/A</v>
      </c>
      <c r="D15" s="10"/>
      <c r="E15" t="s">
        <v>323</v>
      </c>
      <c r="F15" t="s">
        <v>559</v>
      </c>
      <c r="G15" t="s">
        <v>826</v>
      </c>
      <c r="H15">
        <v>32450</v>
      </c>
      <c r="J15" s="2">
        <f t="shared" si="0"/>
        <v>29854</v>
      </c>
      <c r="K15" s="2" t="str">
        <f>VLOOKUP(B15,'[2]RF-Double_Door'!$B$2:$AB$24,27,0)</f>
        <v>C</v>
      </c>
      <c r="L15" t="s">
        <v>73</v>
      </c>
      <c r="M15">
        <v>260</v>
      </c>
      <c r="N15">
        <v>53</v>
      </c>
      <c r="O15">
        <v>1</v>
      </c>
      <c r="P15" t="s">
        <v>132</v>
      </c>
      <c r="R15" t="s">
        <v>470</v>
      </c>
      <c r="S15" t="s">
        <v>564</v>
      </c>
      <c r="T15" t="s">
        <v>472</v>
      </c>
      <c r="U15" t="s">
        <v>473</v>
      </c>
      <c r="V15" t="s">
        <v>474</v>
      </c>
      <c r="AC15" t="s">
        <v>534</v>
      </c>
      <c r="AD15" t="s">
        <v>480</v>
      </c>
    </row>
    <row r="16" spans="1:30" x14ac:dyDescent="0.25">
      <c r="A16">
        <v>15</v>
      </c>
      <c r="B16" s="1" t="s">
        <v>550</v>
      </c>
      <c r="C16" s="10" t="e">
        <v>#N/A</v>
      </c>
      <c r="D16" s="10"/>
      <c r="E16" t="s">
        <v>323</v>
      </c>
      <c r="F16" t="s">
        <v>559</v>
      </c>
      <c r="G16" t="s">
        <v>827</v>
      </c>
      <c r="H16">
        <v>35650</v>
      </c>
      <c r="J16" s="2">
        <f t="shared" si="0"/>
        <v>32798</v>
      </c>
      <c r="K16" s="2" t="str">
        <f>VLOOKUP(B16,'[2]RF-Double_Door'!$B$2:$AB$24,27,0)</f>
        <v>C</v>
      </c>
      <c r="L16" t="s">
        <v>73</v>
      </c>
      <c r="M16">
        <v>260</v>
      </c>
      <c r="N16">
        <v>54</v>
      </c>
      <c r="O16">
        <v>2</v>
      </c>
      <c r="P16" t="s">
        <v>132</v>
      </c>
      <c r="Q16" t="s">
        <v>560</v>
      </c>
      <c r="R16" t="s">
        <v>470</v>
      </c>
      <c r="S16" t="s">
        <v>564</v>
      </c>
      <c r="T16" t="s">
        <v>472</v>
      </c>
      <c r="U16" t="s">
        <v>473</v>
      </c>
      <c r="V16" t="s">
        <v>474</v>
      </c>
      <c r="W16" t="s">
        <v>476</v>
      </c>
      <c r="X16" t="s">
        <v>561</v>
      </c>
      <c r="Z16" t="s">
        <v>529</v>
      </c>
      <c r="AC16" t="s">
        <v>534</v>
      </c>
      <c r="AD16" t="s">
        <v>480</v>
      </c>
    </row>
    <row r="17" spans="1:30" x14ac:dyDescent="0.25">
      <c r="A17">
        <v>16</v>
      </c>
      <c r="B17" s="1" t="s">
        <v>551</v>
      </c>
      <c r="C17" s="10" t="e">
        <v>#N/A</v>
      </c>
      <c r="D17" s="10"/>
      <c r="E17" t="s">
        <v>323</v>
      </c>
      <c r="F17" t="s">
        <v>559</v>
      </c>
      <c r="G17" t="s">
        <v>828</v>
      </c>
      <c r="H17">
        <v>36500</v>
      </c>
      <c r="J17" s="2">
        <f t="shared" si="0"/>
        <v>33580</v>
      </c>
      <c r="K17" s="2" t="str">
        <f>VLOOKUP(B17,'[2]RF-Double_Door'!$B$2:$AB$24,27,0)</f>
        <v>C</v>
      </c>
      <c r="L17" t="s">
        <v>73</v>
      </c>
      <c r="M17">
        <v>260</v>
      </c>
      <c r="N17">
        <v>53</v>
      </c>
      <c r="O17">
        <v>2</v>
      </c>
      <c r="P17" t="s">
        <v>133</v>
      </c>
      <c r="Q17" t="s">
        <v>560</v>
      </c>
      <c r="R17" t="s">
        <v>470</v>
      </c>
      <c r="S17" t="s">
        <v>564</v>
      </c>
      <c r="T17" t="s">
        <v>472</v>
      </c>
      <c r="U17" t="s">
        <v>473</v>
      </c>
      <c r="V17" t="s">
        <v>474</v>
      </c>
      <c r="X17" t="s">
        <v>561</v>
      </c>
      <c r="Z17" t="s">
        <v>529</v>
      </c>
      <c r="AC17" t="s">
        <v>534</v>
      </c>
      <c r="AD17" t="s">
        <v>480</v>
      </c>
    </row>
    <row r="18" spans="1:30" x14ac:dyDescent="0.25">
      <c r="A18">
        <v>17</v>
      </c>
      <c r="B18" s="1" t="s">
        <v>552</v>
      </c>
      <c r="C18" s="10" t="e">
        <v>#N/A</v>
      </c>
      <c r="D18" s="10"/>
      <c r="E18" t="s">
        <v>323</v>
      </c>
      <c r="F18" t="s">
        <v>559</v>
      </c>
      <c r="G18" t="s">
        <v>829</v>
      </c>
      <c r="H18">
        <v>33450</v>
      </c>
      <c r="J18" s="2">
        <f t="shared" si="0"/>
        <v>30774</v>
      </c>
      <c r="K18" s="2" t="str">
        <f>VLOOKUP(B18,'[2]RF-Double_Door'!$B$2:$AB$24,27,0)</f>
        <v>C</v>
      </c>
      <c r="L18" t="s">
        <v>73</v>
      </c>
      <c r="M18">
        <v>260</v>
      </c>
      <c r="N18">
        <v>53</v>
      </c>
      <c r="O18">
        <v>1</v>
      </c>
      <c r="P18" t="s">
        <v>133</v>
      </c>
      <c r="R18" t="s">
        <v>470</v>
      </c>
      <c r="S18" t="s">
        <v>564</v>
      </c>
      <c r="T18" t="s">
        <v>472</v>
      </c>
      <c r="U18" t="s">
        <v>473</v>
      </c>
      <c r="V18" t="s">
        <v>474</v>
      </c>
      <c r="W18" t="s">
        <v>476</v>
      </c>
      <c r="AA18" t="s">
        <v>533</v>
      </c>
      <c r="AC18" t="s">
        <v>534</v>
      </c>
      <c r="AD18" t="s">
        <v>480</v>
      </c>
    </row>
    <row r="19" spans="1:30" x14ac:dyDescent="0.25">
      <c r="A19">
        <v>18</v>
      </c>
      <c r="B19" s="1" t="s">
        <v>553</v>
      </c>
      <c r="C19" s="10" t="e">
        <v>#N/A</v>
      </c>
      <c r="D19" s="10"/>
      <c r="E19" t="s">
        <v>323</v>
      </c>
      <c r="F19" t="s">
        <v>559</v>
      </c>
      <c r="G19" t="s">
        <v>830</v>
      </c>
      <c r="H19">
        <v>39400</v>
      </c>
      <c r="J19" s="2">
        <f t="shared" si="0"/>
        <v>36248</v>
      </c>
      <c r="K19" s="2" t="str">
        <f>VLOOKUP(B19,'[2]RF-Double_Door'!$B$2:$AB$24,27,0)</f>
        <v>B</v>
      </c>
      <c r="L19" t="s">
        <v>73</v>
      </c>
      <c r="M19">
        <v>260</v>
      </c>
      <c r="N19">
        <v>54</v>
      </c>
      <c r="O19">
        <v>2</v>
      </c>
      <c r="P19" t="s">
        <v>528</v>
      </c>
      <c r="Q19" t="s">
        <v>560</v>
      </c>
      <c r="R19" t="s">
        <v>470</v>
      </c>
      <c r="S19" t="s">
        <v>565</v>
      </c>
      <c r="T19" t="s">
        <v>472</v>
      </c>
      <c r="U19" t="s">
        <v>473</v>
      </c>
      <c r="V19" t="s">
        <v>474</v>
      </c>
      <c r="W19" t="s">
        <v>476</v>
      </c>
      <c r="X19" t="s">
        <v>561</v>
      </c>
      <c r="Z19" t="s">
        <v>529</v>
      </c>
      <c r="AC19" t="s">
        <v>534</v>
      </c>
      <c r="AD19" t="s">
        <v>480</v>
      </c>
    </row>
    <row r="20" spans="1:30" x14ac:dyDescent="0.25">
      <c r="A20">
        <v>19</v>
      </c>
      <c r="B20" s="1" t="s">
        <v>554</v>
      </c>
      <c r="C20" s="10" t="e">
        <v>#N/A</v>
      </c>
      <c r="D20" s="10"/>
      <c r="E20" t="s">
        <v>323</v>
      </c>
      <c r="F20" t="s">
        <v>559</v>
      </c>
      <c r="G20" t="s">
        <v>831</v>
      </c>
      <c r="H20">
        <v>39700</v>
      </c>
      <c r="J20" s="2">
        <f t="shared" si="0"/>
        <v>36524</v>
      </c>
      <c r="K20" s="2" t="str">
        <f>VLOOKUP(B20,'[2]RF-Double_Door'!$B$2:$AB$24,27,0)</f>
        <v>B</v>
      </c>
      <c r="L20" t="s">
        <v>73</v>
      </c>
      <c r="M20">
        <v>285</v>
      </c>
      <c r="N20">
        <v>57</v>
      </c>
      <c r="O20">
        <v>2</v>
      </c>
      <c r="P20" t="s">
        <v>132</v>
      </c>
      <c r="Q20" t="s">
        <v>560</v>
      </c>
      <c r="R20" t="s">
        <v>470</v>
      </c>
      <c r="S20" t="s">
        <v>564</v>
      </c>
      <c r="T20" t="s">
        <v>472</v>
      </c>
      <c r="U20" t="s">
        <v>531</v>
      </c>
      <c r="V20" t="s">
        <v>474</v>
      </c>
      <c r="W20" t="s">
        <v>476</v>
      </c>
      <c r="X20" t="s">
        <v>561</v>
      </c>
      <c r="Z20" t="s">
        <v>529</v>
      </c>
      <c r="AC20" t="s">
        <v>534</v>
      </c>
      <c r="AD20" t="s">
        <v>480</v>
      </c>
    </row>
    <row r="21" spans="1:30" x14ac:dyDescent="0.25">
      <c r="A21">
        <v>20</v>
      </c>
      <c r="B21" s="1" t="s">
        <v>555</v>
      </c>
      <c r="C21" s="10" t="e">
        <v>#N/A</v>
      </c>
      <c r="D21" s="10"/>
      <c r="E21" t="s">
        <v>323</v>
      </c>
      <c r="F21" t="s">
        <v>559</v>
      </c>
      <c r="G21" t="s">
        <v>832</v>
      </c>
      <c r="H21">
        <v>39400</v>
      </c>
      <c r="J21" s="2">
        <f t="shared" si="0"/>
        <v>36248</v>
      </c>
      <c r="K21" s="2" t="str">
        <f>VLOOKUP(B21,'[2]RF-Double_Door'!$B$2:$AB$24,27,0)</f>
        <v>B</v>
      </c>
      <c r="L21" t="s">
        <v>73</v>
      </c>
      <c r="M21">
        <v>260</v>
      </c>
      <c r="N21">
        <v>54</v>
      </c>
      <c r="O21">
        <v>2</v>
      </c>
      <c r="P21" t="s">
        <v>221</v>
      </c>
      <c r="Q21" t="s">
        <v>560</v>
      </c>
      <c r="R21" t="s">
        <v>470</v>
      </c>
      <c r="T21" t="s">
        <v>472</v>
      </c>
      <c r="U21" t="s">
        <v>473</v>
      </c>
      <c r="V21" t="s">
        <v>474</v>
      </c>
      <c r="X21" t="s">
        <v>561</v>
      </c>
      <c r="Z21" t="s">
        <v>529</v>
      </c>
      <c r="AC21" t="s">
        <v>534</v>
      </c>
      <c r="AD21" t="s">
        <v>480</v>
      </c>
    </row>
    <row r="22" spans="1:30" x14ac:dyDescent="0.25">
      <c r="A22">
        <v>21</v>
      </c>
      <c r="B22" s="1" t="s">
        <v>556</v>
      </c>
      <c r="C22" s="10" t="e">
        <v>#N/A</v>
      </c>
      <c r="D22" s="10"/>
      <c r="E22" t="s">
        <v>323</v>
      </c>
      <c r="F22" t="s">
        <v>559</v>
      </c>
      <c r="G22" t="s">
        <v>833</v>
      </c>
      <c r="H22">
        <v>36050</v>
      </c>
      <c r="J22" s="2">
        <f t="shared" si="0"/>
        <v>33166</v>
      </c>
      <c r="K22" s="2" t="str">
        <f>VLOOKUP(B22,'[2]RF-Double_Door'!$B$2:$AB$24,27,0)</f>
        <v>C</v>
      </c>
      <c r="L22" t="s">
        <v>73</v>
      </c>
      <c r="M22">
        <v>260</v>
      </c>
      <c r="N22">
        <v>50</v>
      </c>
      <c r="O22">
        <v>2</v>
      </c>
      <c r="P22" t="s">
        <v>132</v>
      </c>
      <c r="Q22" t="s">
        <v>560</v>
      </c>
      <c r="R22" t="s">
        <v>470</v>
      </c>
      <c r="S22" t="s">
        <v>564</v>
      </c>
      <c r="T22" t="s">
        <v>472</v>
      </c>
      <c r="U22" t="s">
        <v>473</v>
      </c>
      <c r="V22" t="s">
        <v>474</v>
      </c>
      <c r="X22" t="s">
        <v>561</v>
      </c>
      <c r="Z22" t="s">
        <v>529</v>
      </c>
      <c r="AC22" t="s">
        <v>530</v>
      </c>
      <c r="AD22" t="s">
        <v>480</v>
      </c>
    </row>
    <row r="23" spans="1:30" x14ac:dyDescent="0.25">
      <c r="A23">
        <v>22</v>
      </c>
      <c r="B23" s="1" t="s">
        <v>557</v>
      </c>
      <c r="C23" s="10" t="e">
        <v>#N/A</v>
      </c>
      <c r="D23" s="10"/>
      <c r="E23" t="s">
        <v>323</v>
      </c>
      <c r="F23" t="s">
        <v>559</v>
      </c>
      <c r="G23" t="s">
        <v>834</v>
      </c>
      <c r="H23">
        <v>41900</v>
      </c>
      <c r="J23" s="2">
        <f t="shared" si="0"/>
        <v>38548</v>
      </c>
      <c r="K23" s="2" t="str">
        <f>VLOOKUP(B23,'[2]RF-Double_Door'!$B$2:$AB$24,27,0)</f>
        <v>B</v>
      </c>
      <c r="L23" t="s">
        <v>73</v>
      </c>
      <c r="M23">
        <v>285</v>
      </c>
      <c r="N23">
        <v>53</v>
      </c>
      <c r="O23">
        <v>2</v>
      </c>
      <c r="P23" t="s">
        <v>133</v>
      </c>
      <c r="Q23" t="s">
        <v>560</v>
      </c>
      <c r="R23" t="s">
        <v>470</v>
      </c>
      <c r="S23" t="s">
        <v>564</v>
      </c>
      <c r="T23" t="s">
        <v>472</v>
      </c>
      <c r="U23" t="s">
        <v>531</v>
      </c>
      <c r="V23" t="s">
        <v>474</v>
      </c>
      <c r="X23" t="s">
        <v>561</v>
      </c>
      <c r="Z23" t="s">
        <v>529</v>
      </c>
      <c r="AC23" t="s">
        <v>530</v>
      </c>
      <c r="AD23" t="s">
        <v>480</v>
      </c>
    </row>
    <row r="24" spans="1:30" x14ac:dyDescent="0.25">
      <c r="A24">
        <v>23</v>
      </c>
      <c r="B24" s="1" t="s">
        <v>558</v>
      </c>
      <c r="C24" s="10" t="e">
        <v>#N/A</v>
      </c>
      <c r="D24" s="10"/>
      <c r="E24" t="s">
        <v>323</v>
      </c>
      <c r="F24" t="s">
        <v>559</v>
      </c>
      <c r="G24" t="s">
        <v>835</v>
      </c>
      <c r="H24">
        <v>48200</v>
      </c>
      <c r="J24" s="2">
        <f t="shared" si="0"/>
        <v>44344</v>
      </c>
      <c r="K24" s="2" t="str">
        <f>VLOOKUP(B24,'[2]RF-Double_Door'!$B$2:$AB$24,27,0)</f>
        <v>A+</v>
      </c>
      <c r="L24" t="s">
        <v>73</v>
      </c>
      <c r="M24">
        <v>306</v>
      </c>
      <c r="N24">
        <v>56</v>
      </c>
      <c r="O24">
        <v>2</v>
      </c>
      <c r="P24" t="s">
        <v>132</v>
      </c>
      <c r="Q24" t="s">
        <v>560</v>
      </c>
      <c r="R24" t="s">
        <v>470</v>
      </c>
      <c r="S24" t="s">
        <v>564</v>
      </c>
      <c r="T24" t="s">
        <v>472</v>
      </c>
      <c r="U24" t="s">
        <v>531</v>
      </c>
      <c r="V24" t="s">
        <v>474</v>
      </c>
      <c r="X24" t="s">
        <v>561</v>
      </c>
      <c r="Z24" t="s">
        <v>529</v>
      </c>
      <c r="AC24" t="s">
        <v>530</v>
      </c>
      <c r="AD24" t="s">
        <v>480</v>
      </c>
    </row>
  </sheetData>
  <phoneticPr fontId="3" type="noConversion"/>
  <hyperlinks>
    <hyperlink ref="B2" r:id="rId1" display="https://www.ifbappliances.com/ifbff-2902fkg" xr:uid="{FEB97877-442D-40C0-9875-F1A5B7283945}"/>
    <hyperlink ref="B3" r:id="rId2" display="https://www.ifbappliances.com/ifbff-3362ikg" xr:uid="{4F0C2215-C248-462D-AAA1-8E4E30A03949}"/>
    <hyperlink ref="B4" r:id="rId3" display="https://www.ifbappliances.com/ifbff-2902isg" xr:uid="{68AD4592-D825-46C1-A8A6-FE746C6EF31F}"/>
    <hyperlink ref="B5" r:id="rId4" display="https://www.ifbappliances.com/ifbff-3362irg" xr:uid="{4246D80E-25BB-4332-B84B-3552F3CBDA78}"/>
    <hyperlink ref="B6" r:id="rId5" display="https://www.ifbappliances.com/ifbff-3363igsu" xr:uid="{EFFF969C-D329-4EAD-A2F5-16D8A780BF32}"/>
    <hyperlink ref="B7" r:id="rId6" display="https://www.ifbappliances.com/ifbff-2913ibsu" xr:uid="{12002AA7-A796-41DA-8779-682BFB41DE48}"/>
    <hyperlink ref="B8" r:id="rId7" display="https://www.ifbappliances.com/ifbff-3362isg" xr:uid="{D8BB6072-19FA-4400-AD80-5DAE4EDAEA36}"/>
    <hyperlink ref="B9" r:id="rId8" display="https://www.ifbappliances.com/ifbff-3152isg" xr:uid="{7822F6F9-C9DF-424B-8227-4D396620FEFF}"/>
    <hyperlink ref="B10" r:id="rId9" display="https://www.ifbappliances.com/ifbff-3152irg" xr:uid="{177A9F6A-01AD-419E-A644-652D21D804E2}"/>
    <hyperlink ref="B11" r:id="rId10" display="https://www.ifbappliances.com/ifbff-2902irg" xr:uid="{894DA4B3-DB2B-4B17-9A6F-9E5D34520204}"/>
    <hyperlink ref="B12" r:id="rId11" display="https://www.ifbappliances.com/ifbff-2902fsg" xr:uid="{6FA58C3A-5359-4DC1-8923-AAD531357C3F}"/>
    <hyperlink ref="B13" r:id="rId12" display="https://www.ifbappliances.com/ifbff-3363imsu" xr:uid="{2EB1B48B-9CB7-4B96-8D9A-072C468EE6C2}"/>
    <hyperlink ref="B14" r:id="rId13" display="https://www.ifbappliances.com/ifbff-3153igsu" xr:uid="{46E659B6-8572-4955-BBD3-DF799C726118}"/>
    <hyperlink ref="B15" r:id="rId14" display="https://www.ifbappliances.com/ifbff-2911fbs" xr:uid="{B979258C-F750-4F56-A5E8-21C08EA3AB9C}"/>
    <hyperlink ref="B16" r:id="rId15" display="https://www.ifbappliances.com/ifbff-2902fbs" xr:uid="{0D9A8070-AAD5-4622-9416-5712BBC27239}"/>
    <hyperlink ref="B17" r:id="rId16" display="https://www.ifbappliances.com/ifbff-2902fks" xr:uid="{EE2FEA8C-5CA5-4616-8226-CFDD54FC4F3F}"/>
    <hyperlink ref="B18" r:id="rId17" display="https://www.ifbappliances.com/ifbff-2911fks" xr:uid="{C07CECD9-5906-41FF-AAF7-7E4B0807F143}"/>
    <hyperlink ref="B19" r:id="rId18" display="https://www.ifbappliances.com/ifbff-2902fbb" xr:uid="{0EE1B8AC-F320-4241-8CD3-175AB55B6F14}"/>
    <hyperlink ref="B20" r:id="rId19" display="https://www.ifbappliances.com/ifbff-3152fbs" xr:uid="{41BA5EBB-7C46-4AA0-B9DF-D12C919E7D0D}"/>
    <hyperlink ref="B21" r:id="rId20" display="https://www.ifbappliances.com/ifbff-2902frb" xr:uid="{53BC3CB0-2392-4562-892D-799F6C461B1C}"/>
    <hyperlink ref="B22" r:id="rId21" display="https://www.ifbappliances.com/ifbff-2902igs" xr:uid="{F520C800-741A-438F-9CA4-B67323995B59}"/>
    <hyperlink ref="B23" r:id="rId22" display="https://www.ifbappliances.com/ifbff-3152iks" xr:uid="{A6C57DD7-788E-4040-8E72-BB0EBEF91E5E}"/>
    <hyperlink ref="B24" r:id="rId23" display="https://www.ifbappliances.com/ifbff-3362ibs" xr:uid="{0C6F929D-CB11-45AC-A2F5-CC1084585F7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8F86-3183-4D4D-903E-839771489DC9}">
  <dimension ref="A1:L269"/>
  <sheetViews>
    <sheetView tabSelected="1" topLeftCell="A241" workbookViewId="0">
      <selection activeCell="C272" sqref="C272"/>
    </sheetView>
  </sheetViews>
  <sheetFormatPr defaultRowHeight="15" x14ac:dyDescent="0.25"/>
  <cols>
    <col min="3" max="3" width="34.5703125" customWidth="1"/>
    <col min="4" max="4" width="36.85546875" customWidth="1"/>
  </cols>
  <sheetData>
    <row r="1" spans="1:12" x14ac:dyDescent="0.25">
      <c r="A1" s="4" t="s">
        <v>837</v>
      </c>
      <c r="B1" s="4" t="s">
        <v>66</v>
      </c>
      <c r="C1" s="9" t="s">
        <v>836</v>
      </c>
      <c r="D1" s="9" t="s">
        <v>839</v>
      </c>
      <c r="E1" s="4" t="s">
        <v>67</v>
      </c>
      <c r="F1" s="4" t="s">
        <v>68</v>
      </c>
      <c r="G1" s="4" t="s">
        <v>69</v>
      </c>
      <c r="H1" s="4" t="s">
        <v>71</v>
      </c>
      <c r="I1" s="4" t="s">
        <v>838</v>
      </c>
      <c r="J1" s="4" t="s">
        <v>70</v>
      </c>
      <c r="K1" s="4" t="s">
        <v>840</v>
      </c>
      <c r="L1" s="4" t="s">
        <v>72</v>
      </c>
    </row>
    <row r="2" spans="1:12" x14ac:dyDescent="0.25">
      <c r="A2">
        <f>ROW(B1)</f>
        <v>1</v>
      </c>
      <c r="B2" s="1" t="s">
        <v>0</v>
      </c>
      <c r="C2" s="6">
        <v>8903287030017</v>
      </c>
      <c r="D2" s="7" t="str">
        <f>VLOOKUP(C2,[1]Sheet1!$A$2:$E$1223,2,0)&amp;", "&amp;VLOOKUP(C2,[1]Sheet1!$A$2:$E$1223,3,0)&amp;", "&amp;VLOOKUP(C2,[1]Sheet1!$A$2:$E$1223,5,0)</f>
        <v>SENATOR PLUS MSC, FLU, 58290</v>
      </c>
      <c r="E2" t="s">
        <v>1</v>
      </c>
      <c r="F2" t="s">
        <v>2</v>
      </c>
      <c r="G2" t="s">
        <v>134</v>
      </c>
      <c r="H2">
        <v>58290</v>
      </c>
      <c r="I2">
        <f>VLOOKUP(C2,[1]Sheet1!$A$363:$E$1218,5,0)</f>
        <v>58290</v>
      </c>
      <c r="J2" s="2">
        <f t="shared" ref="J2:J26" si="0">H2-(0.12*H2)</f>
        <v>51295.199999999997</v>
      </c>
      <c r="K2" s="2" t="str">
        <f>VLOOKUP(B2,'[2]WM-FLM'!$B$2:$AO$65,40,0)</f>
        <v>A++</v>
      </c>
      <c r="L2" t="s">
        <v>73</v>
      </c>
    </row>
    <row r="3" spans="1:12" x14ac:dyDescent="0.25">
      <c r="A3">
        <f t="shared" ref="A3:A66" si="1">ROW(B2)</f>
        <v>2</v>
      </c>
      <c r="B3" s="1" t="s">
        <v>3</v>
      </c>
      <c r="C3" s="6">
        <v>8903287025334</v>
      </c>
      <c r="D3" s="7" t="str">
        <f>VLOOKUP(C3,[1]Sheet1!$A$2:$E$1223,2,0)&amp;", "&amp;VLOOKUP(C3,[1]Sheet1!$A$2:$E$1223,3,0)&amp;", "&amp;VLOOKUP(C3,[1]Sheet1!$A$2:$E$1223,5,0)</f>
        <v>SENATOR PLUS SXC, FLU, 57290</v>
      </c>
      <c r="E3" t="s">
        <v>1</v>
      </c>
      <c r="F3" t="s">
        <v>2</v>
      </c>
      <c r="G3" t="s">
        <v>135</v>
      </c>
      <c r="H3">
        <v>57290</v>
      </c>
      <c r="I3">
        <f>VLOOKUP(C3,[1]Sheet1!$A$363:$E$1218,5,0)</f>
        <v>57290</v>
      </c>
      <c r="J3" s="2">
        <f t="shared" si="0"/>
        <v>50415.199999999997</v>
      </c>
      <c r="K3" s="2" t="str">
        <f>VLOOKUP(B3,'[2]WM-FLM'!$B$2:$AO$65,40,0)</f>
        <v>A+</v>
      </c>
      <c r="L3" t="s">
        <v>73</v>
      </c>
    </row>
    <row r="4" spans="1:12" x14ac:dyDescent="0.25">
      <c r="A4">
        <f t="shared" si="1"/>
        <v>3</v>
      </c>
      <c r="B4" s="1" t="s">
        <v>4</v>
      </c>
      <c r="C4" s="6">
        <v>8903287026522</v>
      </c>
      <c r="D4" s="7" t="str">
        <f>VLOOKUP(C4,[1]Sheet1!$A$2:$E$1223,2,0)&amp;", "&amp;VLOOKUP(C4,[1]Sheet1!$A$2:$E$1223,3,0)&amp;", "&amp;VLOOKUP(C4,[1]Sheet1!$A$2:$E$1223,5,0)</f>
        <v>EXECUTIVE PLUS MXC 1014, FLU, 62990</v>
      </c>
      <c r="E4" t="s">
        <v>1</v>
      </c>
      <c r="F4" t="s">
        <v>2</v>
      </c>
      <c r="G4" t="s">
        <v>136</v>
      </c>
      <c r="H4">
        <v>62990</v>
      </c>
      <c r="I4">
        <f>VLOOKUP(C4,[1]Sheet1!$A$363:$E$1218,5,0)</f>
        <v>62990</v>
      </c>
      <c r="J4" s="2">
        <f t="shared" si="0"/>
        <v>55431.199999999997</v>
      </c>
      <c r="K4" s="2" t="str">
        <f>VLOOKUP(B4,'[2]WM-FLM'!$B$2:$AO$65,40,0)</f>
        <v>A++</v>
      </c>
      <c r="L4" t="s">
        <v>73</v>
      </c>
    </row>
    <row r="5" spans="1:12" x14ac:dyDescent="0.25">
      <c r="A5">
        <f t="shared" si="1"/>
        <v>4</v>
      </c>
      <c r="B5" s="1" t="s">
        <v>5</v>
      </c>
      <c r="C5" s="6">
        <v>8903287025341</v>
      </c>
      <c r="D5" s="7" t="str">
        <f>VLOOKUP(C5,[1]Sheet1!$A$2:$E$1223,2,0)&amp;", "&amp;VLOOKUP(C5,[1]Sheet1!$A$2:$E$1223,3,0)&amp;", "&amp;VLOOKUP(C5,[1]Sheet1!$A$2:$E$1223,5,0)</f>
        <v>SENATOR PLUS MXC, FLU, 59290</v>
      </c>
      <c r="E5" t="s">
        <v>1</v>
      </c>
      <c r="F5" t="s">
        <v>2</v>
      </c>
      <c r="G5" t="s">
        <v>137</v>
      </c>
      <c r="H5">
        <v>59290</v>
      </c>
      <c r="I5">
        <f>VLOOKUP(C5,[1]Sheet1!$A$363:$E$1218,5,0)</f>
        <v>59290</v>
      </c>
      <c r="J5" s="2">
        <f t="shared" si="0"/>
        <v>52175.199999999997</v>
      </c>
      <c r="K5" s="2" t="str">
        <f>VLOOKUP(B5,'[2]WM-FLM'!$B$2:$AO$65,40,0)</f>
        <v>A++</v>
      </c>
      <c r="L5" t="s">
        <v>73</v>
      </c>
    </row>
    <row r="6" spans="1:12" x14ac:dyDescent="0.25">
      <c r="A6">
        <f t="shared" si="1"/>
        <v>5</v>
      </c>
      <c r="B6" s="1" t="s">
        <v>6</v>
      </c>
      <c r="C6" s="6">
        <v>8903287025358</v>
      </c>
      <c r="D6" s="7" t="str">
        <f>VLOOKUP(C6,[1]Sheet1!$A$2:$E$1223,2,0)&amp;", "&amp;VLOOKUP(C6,[1]Sheet1!$A$2:$E$1223,3,0)&amp;", "&amp;VLOOKUP(C6,[1]Sheet1!$A$2:$E$1223,5,0)</f>
        <v>EXECUTIVE MXC 9014, FLU, 60990</v>
      </c>
      <c r="E6" t="s">
        <v>1</v>
      </c>
      <c r="F6" t="s">
        <v>2</v>
      </c>
      <c r="G6" t="s">
        <v>138</v>
      </c>
      <c r="H6">
        <v>60990</v>
      </c>
      <c r="I6">
        <f>VLOOKUP(C6,[1]Sheet1!$A$363:$E$1218,5,0)</f>
        <v>60990</v>
      </c>
      <c r="J6" s="2">
        <f t="shared" si="0"/>
        <v>53671.199999999997</v>
      </c>
      <c r="K6" s="2" t="str">
        <f>VLOOKUP(B6,'[2]WM-FLM'!$B$2:$AO$65,40,0)</f>
        <v>A++</v>
      </c>
      <c r="L6" t="s">
        <v>73</v>
      </c>
    </row>
    <row r="7" spans="1:12" x14ac:dyDescent="0.25">
      <c r="A7">
        <f t="shared" si="1"/>
        <v>6</v>
      </c>
      <c r="B7" s="1" t="s">
        <v>7</v>
      </c>
      <c r="C7" s="6">
        <v>8903287024788</v>
      </c>
      <c r="D7" s="7" t="str">
        <f>VLOOKUP(C7,[1]Sheet1!$A$2:$E$1223,2,0)&amp;", "&amp;VLOOKUP(C7,[1]Sheet1!$A$2:$E$1223,3,0)&amp;", "&amp;VLOOKUP(C7,[1]Sheet1!$A$2:$E$1223,5,0)</f>
        <v>SENATOR WSS STEAM, FLU, 51690</v>
      </c>
      <c r="E7" t="s">
        <v>1</v>
      </c>
      <c r="F7" t="s">
        <v>2</v>
      </c>
      <c r="G7" t="s">
        <v>139</v>
      </c>
      <c r="H7">
        <v>51690</v>
      </c>
      <c r="I7">
        <f>VLOOKUP(C7,[1]Sheet1!$A$363:$E$1218,5,0)</f>
        <v>51690</v>
      </c>
      <c r="J7" s="2">
        <f t="shared" si="0"/>
        <v>45487.199999999997</v>
      </c>
      <c r="K7" s="2" t="str">
        <f>VLOOKUP(B7,'[2]WM-FLM'!$B$2:$AO$65,40,0)</f>
        <v>A+</v>
      </c>
      <c r="L7" t="s">
        <v>73</v>
      </c>
    </row>
    <row r="8" spans="1:12" x14ac:dyDescent="0.25">
      <c r="A8">
        <f t="shared" si="1"/>
        <v>7</v>
      </c>
      <c r="B8" s="1" t="s">
        <v>8</v>
      </c>
      <c r="C8" s="6">
        <v>8903287025433</v>
      </c>
      <c r="D8" s="7" t="str">
        <f>VLOOKUP(C8,[1]Sheet1!$A$2:$E$1223,2,0)&amp;", "&amp;VLOOKUP(C8,[1]Sheet1!$A$2:$E$1223,3,0)&amp;", "&amp;VLOOKUP(C8,[1]Sheet1!$A$2:$E$1223,5,0)</f>
        <v>SENORITA SXS 6510, FLU, 40490</v>
      </c>
      <c r="E8" t="s">
        <v>1</v>
      </c>
      <c r="F8" t="s">
        <v>2</v>
      </c>
      <c r="G8" t="s">
        <v>140</v>
      </c>
      <c r="H8">
        <v>40490</v>
      </c>
      <c r="I8">
        <f>VLOOKUP(C8,[1]Sheet1!$A$363:$E$1218,5,0)</f>
        <v>40490</v>
      </c>
      <c r="J8" s="2">
        <f t="shared" si="0"/>
        <v>35631.199999999997</v>
      </c>
      <c r="K8" s="2" t="str">
        <f>VLOOKUP(B8,'[2]WM-FLM'!$B$2:$AO$65,40,0)</f>
        <v>C</v>
      </c>
      <c r="L8" t="s">
        <v>73</v>
      </c>
    </row>
    <row r="9" spans="1:12" x14ac:dyDescent="0.25">
      <c r="A9">
        <f t="shared" si="1"/>
        <v>8</v>
      </c>
      <c r="B9" s="1" t="s">
        <v>9</v>
      </c>
      <c r="C9" s="6">
        <v>8903287025426</v>
      </c>
      <c r="D9" s="7" t="str">
        <f>VLOOKUP(C9,[1]Sheet1!$A$2:$E$1223,2,0)&amp;", "&amp;VLOOKUP(C9,[1]Sheet1!$A$2:$E$1223,3,0)&amp;", "&amp;VLOOKUP(C9,[1]Sheet1!$A$2:$E$1223,5,0)</f>
        <v>SENORITA VXS 6510, FLU, 38990</v>
      </c>
      <c r="E9" t="s">
        <v>1</v>
      </c>
      <c r="F9" t="s">
        <v>2</v>
      </c>
      <c r="G9" t="s">
        <v>141</v>
      </c>
      <c r="H9">
        <v>38990</v>
      </c>
      <c r="I9">
        <f>VLOOKUP(C9,[1]Sheet1!$A$363:$E$1218,5,0)</f>
        <v>38990</v>
      </c>
      <c r="J9" s="2">
        <f t="shared" si="0"/>
        <v>34311.199999999997</v>
      </c>
      <c r="K9" s="2" t="str">
        <f>VLOOKUP(B9,'[2]WM-FLM'!$B$2:$AO$65,40,0)</f>
        <v>C</v>
      </c>
      <c r="L9" t="s">
        <v>73</v>
      </c>
    </row>
    <row r="10" spans="1:12" x14ac:dyDescent="0.25">
      <c r="A10">
        <f t="shared" si="1"/>
        <v>9</v>
      </c>
      <c r="B10" s="1" t="s">
        <v>10</v>
      </c>
      <c r="C10" s="6">
        <v>8903287025655</v>
      </c>
      <c r="D10" s="7" t="str">
        <f>VLOOKUP(C10,[1]Sheet1!$A$2:$E$1223,2,0)&amp;", "&amp;VLOOKUP(C10,[1]Sheet1!$A$2:$E$1223,3,0)&amp;", "&amp;VLOOKUP(C10,[1]Sheet1!$A$2:$E$1223,5,0)</f>
        <v>SERENA ZSS 7010, FLU, 44490</v>
      </c>
      <c r="E10" t="s">
        <v>1</v>
      </c>
      <c r="F10" t="s">
        <v>2</v>
      </c>
      <c r="G10" t="s">
        <v>142</v>
      </c>
      <c r="H10">
        <v>44490</v>
      </c>
      <c r="I10">
        <f>VLOOKUP(C10,[1]Sheet1!$A$363:$E$1218,5,0)</f>
        <v>44490</v>
      </c>
      <c r="J10" s="2">
        <f t="shared" si="0"/>
        <v>39151.199999999997</v>
      </c>
      <c r="K10" s="2" t="str">
        <f>VLOOKUP(B10,'[2]WM-FLM'!$B$2:$AO$65,40,0)</f>
        <v>B</v>
      </c>
      <c r="L10" t="s">
        <v>73</v>
      </c>
    </row>
    <row r="11" spans="1:12" x14ac:dyDescent="0.25">
      <c r="A11">
        <f t="shared" si="1"/>
        <v>10</v>
      </c>
      <c r="B11" s="1" t="s">
        <v>11</v>
      </c>
      <c r="C11" s="6">
        <v>8903287025716</v>
      </c>
      <c r="D11" s="7" t="str">
        <f>VLOOKUP(C11,[1]Sheet1!$A$2:$E$1223,2,0)&amp;", "&amp;VLOOKUP(C11,[1]Sheet1!$A$2:$E$1223,3,0)&amp;", "&amp;VLOOKUP(C11,[1]Sheet1!$A$2:$E$1223,5,0)</f>
        <v>ELENA ZSS 6510, FLU, 42290</v>
      </c>
      <c r="E11" t="s">
        <v>1</v>
      </c>
      <c r="F11" t="s">
        <v>2</v>
      </c>
      <c r="G11" t="s">
        <v>143</v>
      </c>
      <c r="H11">
        <v>42290</v>
      </c>
      <c r="I11">
        <f>VLOOKUP(C11,[1]Sheet1!$A$363:$E$1218,5,0)</f>
        <v>42290</v>
      </c>
      <c r="J11" s="2">
        <f t="shared" si="0"/>
        <v>37215.199999999997</v>
      </c>
      <c r="K11" s="2" t="str">
        <f>VLOOKUP(B11,'[2]WM-FLM'!$B$2:$AO$65,40,0)</f>
        <v>B</v>
      </c>
      <c r="L11" t="s">
        <v>73</v>
      </c>
    </row>
    <row r="12" spans="1:12" x14ac:dyDescent="0.25">
      <c r="A12">
        <f t="shared" si="1"/>
        <v>11</v>
      </c>
      <c r="B12" s="1" t="s">
        <v>12</v>
      </c>
      <c r="C12" s="6">
        <v>8903287026249</v>
      </c>
      <c r="D12" s="7" t="str">
        <f>VLOOKUP(C12,[1]Sheet1!$A$2:$E$1223,2,0)&amp;", "&amp;VLOOKUP(C12,[1]Sheet1!$A$2:$E$1223,3,0)&amp;", "&amp;VLOOKUP(C12,[1]Sheet1!$A$2:$E$1223,5,0)</f>
        <v>DIVA AQUA VSS 7010, FLU, 37990</v>
      </c>
      <c r="E12" t="s">
        <v>1</v>
      </c>
      <c r="F12" t="s">
        <v>2</v>
      </c>
      <c r="G12" t="s">
        <v>144</v>
      </c>
      <c r="H12">
        <v>37990</v>
      </c>
      <c r="I12">
        <f>VLOOKUP(C12,[1]Sheet1!$A$363:$E$1218,5,0)</f>
        <v>37990</v>
      </c>
      <c r="J12" s="2">
        <f t="shared" si="0"/>
        <v>33431.199999999997</v>
      </c>
      <c r="K12" s="2" t="str">
        <f>VLOOKUP(B12,'[2]WM-FLM'!$B$2:$AO$65,40,0)</f>
        <v>C</v>
      </c>
      <c r="L12" t="s">
        <v>73</v>
      </c>
    </row>
    <row r="13" spans="1:12" x14ac:dyDescent="0.25">
      <c r="A13">
        <f t="shared" si="1"/>
        <v>12</v>
      </c>
      <c r="B13" s="1" t="s">
        <v>13</v>
      </c>
      <c r="C13" s="6">
        <v>8903287026324</v>
      </c>
      <c r="D13" s="7" t="str">
        <f>VLOOKUP(C13,[1]Sheet1!$A$2:$E$1223,2,0)&amp;", "&amp;VLOOKUP(C13,[1]Sheet1!$A$2:$E$1223,3,0)&amp;", "&amp;VLOOKUP(C13,[1]Sheet1!$A$2:$E$1223,5,0)</f>
        <v>EXECUTIVE MSS ID 9014, FLU, 54690</v>
      </c>
      <c r="E13" t="s">
        <v>1</v>
      </c>
      <c r="F13" t="s">
        <v>2</v>
      </c>
      <c r="G13" t="s">
        <v>145</v>
      </c>
      <c r="H13">
        <v>54690</v>
      </c>
      <c r="I13">
        <f>VLOOKUP(C13,[1]Sheet1!$A$363:$E$1218,5,0)</f>
        <v>54690</v>
      </c>
      <c r="J13" s="2">
        <f t="shared" si="0"/>
        <v>48127.199999999997</v>
      </c>
      <c r="K13" s="2" t="str">
        <f>VLOOKUP(B13,'[2]WM-FLM'!$B$2:$AO$65,40,0)</f>
        <v>A+</v>
      </c>
      <c r="L13" t="s">
        <v>73</v>
      </c>
    </row>
    <row r="14" spans="1:12" x14ac:dyDescent="0.25">
      <c r="A14">
        <f t="shared" si="1"/>
        <v>13</v>
      </c>
      <c r="B14" s="1" t="s">
        <v>14</v>
      </c>
      <c r="C14" s="6">
        <v>8903287025419</v>
      </c>
      <c r="D14" s="7" t="str">
        <f>VLOOKUP(C14,[1]Sheet1!$A$2:$E$1223,2,0)&amp;", "&amp;VLOOKUP(C14,[1]Sheet1!$A$2:$E$1223,3,0)&amp;", "&amp;VLOOKUP(C14,[1]Sheet1!$A$2:$E$1223,5,0)</f>
        <v>SENATOR PLUS SRS 8012, FLU, 48590</v>
      </c>
      <c r="E14" t="s">
        <v>1</v>
      </c>
      <c r="F14" t="s">
        <v>2</v>
      </c>
      <c r="G14" t="s">
        <v>146</v>
      </c>
      <c r="H14">
        <v>48590</v>
      </c>
      <c r="I14">
        <f>VLOOKUP(C14,[1]Sheet1!$A$363:$E$1218,5,0)</f>
        <v>48590</v>
      </c>
      <c r="J14" s="2">
        <f t="shared" si="0"/>
        <v>42759.199999999997</v>
      </c>
      <c r="K14" s="2" t="str">
        <f>VLOOKUP(B14,'[2]WM-FLM'!$B$2:$AO$65,40,0)</f>
        <v>A</v>
      </c>
      <c r="L14" t="s">
        <v>73</v>
      </c>
    </row>
    <row r="15" spans="1:12" x14ac:dyDescent="0.25">
      <c r="A15">
        <f t="shared" si="1"/>
        <v>14</v>
      </c>
      <c r="B15" s="1" t="s">
        <v>15</v>
      </c>
      <c r="C15" s="6">
        <v>8903287025570</v>
      </c>
      <c r="D15" s="7" t="str">
        <f>VLOOKUP(C15,[1]Sheet1!$A$2:$E$1223,2,0)&amp;", "&amp;VLOOKUP(C15,[1]Sheet1!$A$2:$E$1223,3,0)&amp;", "&amp;VLOOKUP(C15,[1]Sheet1!$A$2:$E$1223,5,0)</f>
        <v>SENATOR MXS 8012, FLU, 49990</v>
      </c>
      <c r="E15" t="s">
        <v>1</v>
      </c>
      <c r="F15" t="s">
        <v>2</v>
      </c>
      <c r="G15" t="s">
        <v>147</v>
      </c>
      <c r="H15">
        <v>49990</v>
      </c>
      <c r="I15">
        <f>VLOOKUP(C15,[1]Sheet1!$A$363:$E$1218,5,0)</f>
        <v>49990</v>
      </c>
      <c r="J15" s="2">
        <f t="shared" si="0"/>
        <v>43991.199999999997</v>
      </c>
      <c r="K15" s="2" t="str">
        <f>VLOOKUP(B15,'[2]WM-FLM'!$B$2:$AO$65,40,0)</f>
        <v>A</v>
      </c>
      <c r="L15" t="s">
        <v>73</v>
      </c>
    </row>
    <row r="16" spans="1:12" x14ac:dyDescent="0.25">
      <c r="A16">
        <f t="shared" si="1"/>
        <v>15</v>
      </c>
      <c r="B16" s="1" t="s">
        <v>16</v>
      </c>
      <c r="C16" s="6">
        <v>8903287025587</v>
      </c>
      <c r="D16" s="7" t="str">
        <f>VLOOKUP(C16,[1]Sheet1!$A$2:$E$1223,2,0)&amp;", "&amp;VLOOKUP(C16,[1]Sheet1!$A$2:$E$1223,3,0)&amp;", "&amp;VLOOKUP(C16,[1]Sheet1!$A$2:$E$1223,5,0)</f>
        <v>SENATOR SXS 8012, FLU, 47990</v>
      </c>
      <c r="E16" t="s">
        <v>1</v>
      </c>
      <c r="F16" t="s">
        <v>2</v>
      </c>
      <c r="G16" t="s">
        <v>148</v>
      </c>
      <c r="H16">
        <v>47990</v>
      </c>
      <c r="I16">
        <f>VLOOKUP(C16,[1]Sheet1!$A$363:$E$1218,5,0)</f>
        <v>47990</v>
      </c>
      <c r="J16" s="2">
        <f t="shared" si="0"/>
        <v>42231.199999999997</v>
      </c>
      <c r="K16" s="2" t="str">
        <f>VLOOKUP(B16,'[2]WM-FLM'!$B$2:$AO$65,40,0)</f>
        <v>B</v>
      </c>
      <c r="L16" t="s">
        <v>73</v>
      </c>
    </row>
    <row r="17" spans="1:12" x14ac:dyDescent="0.25">
      <c r="A17">
        <f t="shared" si="1"/>
        <v>16</v>
      </c>
      <c r="B17" s="1" t="s">
        <v>17</v>
      </c>
      <c r="C17" s="6">
        <v>8903287025747</v>
      </c>
      <c r="D17" s="7" t="str">
        <f>VLOOKUP(C17,[1]Sheet1!$A$2:$E$1223,2,0)&amp;", "&amp;VLOOKUP(C17,[1]Sheet1!$A$2:$E$1223,3,0)&amp;", "&amp;VLOOKUP(C17,[1]Sheet1!$A$2:$E$1223,5,0)</f>
        <v>NEO DIVA SXS 6010, FLU, 35890</v>
      </c>
      <c r="E17" t="s">
        <v>1</v>
      </c>
      <c r="F17" t="s">
        <v>2</v>
      </c>
      <c r="G17" t="s">
        <v>149</v>
      </c>
      <c r="H17">
        <v>35890</v>
      </c>
      <c r="I17">
        <f>VLOOKUP(C17,[1]Sheet1!$A$363:$E$1218,5,0)</f>
        <v>35890</v>
      </c>
      <c r="J17" s="2">
        <f t="shared" si="0"/>
        <v>31583.200000000001</v>
      </c>
      <c r="K17" s="2" t="str">
        <f>VLOOKUP(B17,'[2]WM-FLM'!$B$2:$AO$65,40,0)</f>
        <v>C</v>
      </c>
      <c r="L17" t="s">
        <v>73</v>
      </c>
    </row>
    <row r="18" spans="1:12" x14ac:dyDescent="0.25">
      <c r="A18">
        <f t="shared" si="1"/>
        <v>17</v>
      </c>
      <c r="B18" s="1" t="s">
        <v>18</v>
      </c>
      <c r="C18" s="6">
        <v>8903287026065</v>
      </c>
      <c r="D18" s="7" t="str">
        <f>VLOOKUP(C18,[1]Sheet1!$A$2:$E$1223,2,0)&amp;", "&amp;VLOOKUP(C18,[1]Sheet1!$A$2:$E$1223,3,0)&amp;", "&amp;VLOOKUP(C18,[1]Sheet1!$A$2:$E$1223,5,0)</f>
        <v>ELITE ZSS 7012, FLU, 45690</v>
      </c>
      <c r="E18" t="s">
        <v>1</v>
      </c>
      <c r="F18" t="s">
        <v>2</v>
      </c>
      <c r="G18" t="s">
        <v>150</v>
      </c>
      <c r="H18">
        <v>45690</v>
      </c>
      <c r="I18">
        <f>VLOOKUP(C18,[1]Sheet1!$A$363:$E$1218,5,0)</f>
        <v>45690</v>
      </c>
      <c r="J18" s="2">
        <f t="shared" si="0"/>
        <v>40207.199999999997</v>
      </c>
      <c r="K18" s="2" t="str">
        <f>VLOOKUP(B18,'[2]WM-FLM'!$B$2:$AO$65,40,0)</f>
        <v>B</v>
      </c>
      <c r="L18" t="s">
        <v>73</v>
      </c>
    </row>
    <row r="19" spans="1:12" x14ac:dyDescent="0.25">
      <c r="A19">
        <f t="shared" si="1"/>
        <v>18</v>
      </c>
      <c r="B19" s="1" t="s">
        <v>19</v>
      </c>
      <c r="C19" s="6">
        <v>8903287026409</v>
      </c>
      <c r="D19" s="7" t="str">
        <f>VLOOKUP(C19,[1]Sheet1!$A$2:$E$1223,2,0)&amp;", "&amp;VLOOKUP(C19,[1]Sheet1!$A$2:$E$1223,3,0)&amp;", "&amp;VLOOKUP(C19,[1]Sheet1!$A$2:$E$1223,5,0)</f>
        <v>SENATOR MXS 8014, FLU, 52990</v>
      </c>
      <c r="E19" t="s">
        <v>1</v>
      </c>
      <c r="F19" t="s">
        <v>2</v>
      </c>
      <c r="G19" t="s">
        <v>151</v>
      </c>
      <c r="H19">
        <v>52990</v>
      </c>
      <c r="I19">
        <f>VLOOKUP(C19,[1]Sheet1!$A$363:$E$1218,5,0)</f>
        <v>52990</v>
      </c>
      <c r="J19" s="2">
        <f t="shared" si="0"/>
        <v>46631.199999999997</v>
      </c>
      <c r="K19" s="2" t="str">
        <f>VLOOKUP(B19,'[2]WM-FLM'!$B$2:$AO$65,40,0)</f>
        <v>A+</v>
      </c>
      <c r="L19" t="s">
        <v>73</v>
      </c>
    </row>
    <row r="20" spans="1:12" x14ac:dyDescent="0.25">
      <c r="A20">
        <f t="shared" si="1"/>
        <v>19</v>
      </c>
      <c r="B20" s="1" t="s">
        <v>20</v>
      </c>
      <c r="C20" s="6">
        <v>8903287030192</v>
      </c>
      <c r="D20" s="7" t="str">
        <f>VLOOKUP(C20,[1]Sheet1!$A$2:$E$1223,2,0)&amp;", "&amp;VLOOKUP(C20,[1]Sheet1!$A$2:$E$1223,3,0)&amp;", "&amp;VLOOKUP(C20,[1]Sheet1!$A$2:$E$1223,5,0)</f>
        <v>SENATOR ZMS 8012, FLU, 47990</v>
      </c>
      <c r="E20" t="s">
        <v>1</v>
      </c>
      <c r="F20" t="s">
        <v>2</v>
      </c>
      <c r="G20" t="s">
        <v>152</v>
      </c>
      <c r="H20">
        <v>47990</v>
      </c>
      <c r="I20">
        <f>VLOOKUP(C20,[1]Sheet1!$A$363:$E$1218,5,0)</f>
        <v>47990</v>
      </c>
      <c r="J20" s="2">
        <f t="shared" si="0"/>
        <v>42231.199999999997</v>
      </c>
      <c r="K20" s="2" t="str">
        <f>VLOOKUP(B20,'[2]WM-FLM'!$B$2:$AO$65,40,0)</f>
        <v>B</v>
      </c>
      <c r="L20" t="s">
        <v>73</v>
      </c>
    </row>
    <row r="21" spans="1:12" x14ac:dyDescent="0.25">
      <c r="A21">
        <f t="shared" si="1"/>
        <v>20</v>
      </c>
      <c r="B21" s="1" t="s">
        <v>21</v>
      </c>
      <c r="C21" s="6">
        <v>8903287025600</v>
      </c>
      <c r="D21" s="7" t="str">
        <f>VLOOKUP(C21,[1]Sheet1!$A$2:$E$1223,2,0)&amp;", "&amp;VLOOKUP(C21,[1]Sheet1!$A$2:$E$1223,3,0)&amp;", "&amp;VLOOKUP(C21,[1]Sheet1!$A$2:$E$1223,5,0)</f>
        <v>SENATOR PLUS SXS 8014, FLU, 50690</v>
      </c>
      <c r="E21" t="s">
        <v>1</v>
      </c>
      <c r="F21" t="s">
        <v>2</v>
      </c>
      <c r="G21" t="s">
        <v>153</v>
      </c>
      <c r="H21">
        <v>50690</v>
      </c>
      <c r="I21">
        <f>VLOOKUP(C21,[1]Sheet1!$A$363:$E$1218,5,0)</f>
        <v>50690</v>
      </c>
      <c r="J21" s="2">
        <f t="shared" si="0"/>
        <v>44607.199999999997</v>
      </c>
      <c r="K21" s="2" t="str">
        <f>VLOOKUP(B21,'[2]WM-FLM'!$B$2:$AO$65,40,0)</f>
        <v>A</v>
      </c>
      <c r="L21" t="s">
        <v>73</v>
      </c>
    </row>
    <row r="22" spans="1:12" x14ac:dyDescent="0.25">
      <c r="A22">
        <f t="shared" si="1"/>
        <v>21</v>
      </c>
      <c r="B22" s="1" t="s">
        <v>22</v>
      </c>
      <c r="C22" s="6">
        <v>8903287026195</v>
      </c>
      <c r="D22" s="7" t="str">
        <f>VLOOKUP(C22,[1]Sheet1!$A$2:$E$1223,2,0)&amp;", "&amp;VLOOKUP(C22,[1]Sheet1!$A$2:$E$1223,3,0)&amp;", "&amp;VLOOKUP(C22,[1]Sheet1!$A$2:$E$1223,5,0)</f>
        <v>SENATOR PLUS MXS 8KG, FLU, 53990</v>
      </c>
      <c r="E22" t="s">
        <v>1</v>
      </c>
      <c r="F22" t="s">
        <v>2</v>
      </c>
      <c r="G22" t="s">
        <v>154</v>
      </c>
      <c r="H22">
        <v>53990</v>
      </c>
      <c r="I22">
        <f>VLOOKUP(C22,[1]Sheet1!$A$363:$E$1218,5,0)</f>
        <v>53990</v>
      </c>
      <c r="J22" s="2">
        <f t="shared" si="0"/>
        <v>47511.199999999997</v>
      </c>
      <c r="K22" s="2" t="str">
        <f>VLOOKUP(B22,'[2]WM-FLM'!$B$2:$AO$65,40,0)</f>
        <v>A+</v>
      </c>
      <c r="L22" t="s">
        <v>73</v>
      </c>
    </row>
    <row r="23" spans="1:12" x14ac:dyDescent="0.25">
      <c r="A23">
        <f t="shared" si="1"/>
        <v>22</v>
      </c>
      <c r="B23" s="1" t="s">
        <v>23</v>
      </c>
      <c r="C23" s="6">
        <v>8903287025624</v>
      </c>
      <c r="D23" s="7" t="str">
        <f>VLOOKUP(C23,[1]Sheet1!$A$2:$E$1223,2,0)&amp;", "&amp;VLOOKUP(C23,[1]Sheet1!$A$2:$E$1223,3,0)&amp;", "&amp;VLOOKUP(C23,[1]Sheet1!$A$2:$E$1223,5,0)</f>
        <v>NEO DIVA SXS 7010, FLU, 42490</v>
      </c>
      <c r="E23" t="s">
        <v>1</v>
      </c>
      <c r="F23" t="s">
        <v>2</v>
      </c>
      <c r="G23" t="s">
        <v>155</v>
      </c>
      <c r="H23">
        <v>42490</v>
      </c>
      <c r="I23">
        <f>VLOOKUP(C23,[1]Sheet1!$A$363:$E$1218,5,0)</f>
        <v>42490</v>
      </c>
      <c r="J23" s="2">
        <f t="shared" si="0"/>
        <v>37391.199999999997</v>
      </c>
      <c r="K23" s="2" t="str">
        <f>VLOOKUP(B23,'[2]WM-FLM'!$B$2:$AO$65,40,0)</f>
        <v>B</v>
      </c>
      <c r="L23" t="s">
        <v>73</v>
      </c>
    </row>
    <row r="24" spans="1:12" x14ac:dyDescent="0.25">
      <c r="A24">
        <f t="shared" si="1"/>
        <v>23</v>
      </c>
      <c r="B24" s="1" t="s">
        <v>24</v>
      </c>
      <c r="C24" s="6">
        <v>8903287026508</v>
      </c>
      <c r="D24" s="7" t="str">
        <f>VLOOKUP(C24,[1]Sheet1!$A$2:$E$1223,2,0)&amp;", "&amp;VLOOKUP(C24,[1]Sheet1!$A$2:$E$1223,3,0)&amp;", "&amp;VLOOKUP(C24,[1]Sheet1!$A$2:$E$1223,5,0)</f>
        <v>DIVA AQUA BXS 6010, FLU, 31690</v>
      </c>
      <c r="E24" t="s">
        <v>1</v>
      </c>
      <c r="F24" t="s">
        <v>2</v>
      </c>
      <c r="G24" t="s">
        <v>156</v>
      </c>
      <c r="H24">
        <v>31690</v>
      </c>
      <c r="I24">
        <f>VLOOKUP(C24,[1]Sheet1!$A$363:$E$1218,5,0)</f>
        <v>31690</v>
      </c>
      <c r="J24" s="2">
        <f t="shared" si="0"/>
        <v>27887.200000000001</v>
      </c>
      <c r="K24" s="2" t="str">
        <f>VLOOKUP(B24,'[2]WM-FLM'!$B$2:$AO$65,40,0)</f>
        <v>C</v>
      </c>
      <c r="L24" t="s">
        <v>73</v>
      </c>
    </row>
    <row r="25" spans="1:12" x14ac:dyDescent="0.25">
      <c r="A25">
        <f t="shared" si="1"/>
        <v>24</v>
      </c>
      <c r="B25" s="1" t="s">
        <v>25</v>
      </c>
      <c r="C25" s="6">
        <v>8903287026485</v>
      </c>
      <c r="D25" s="7" t="str">
        <f>VLOOKUP(C25,[1]Sheet1!$A$2:$E$1223,2,0)&amp;", "&amp;VLOOKUP(C25,[1]Sheet1!$A$2:$E$1223,3,0)&amp;", "&amp;VLOOKUP(C25,[1]Sheet1!$A$2:$E$1223,5,0)</f>
        <v>DIVA AQUA SXS 6010, FLU, 32890</v>
      </c>
      <c r="E25" t="s">
        <v>1</v>
      </c>
      <c r="F25" t="s">
        <v>2</v>
      </c>
      <c r="G25" t="s">
        <v>157</v>
      </c>
      <c r="H25">
        <v>32890</v>
      </c>
      <c r="I25">
        <f>VLOOKUP(C25,[1]Sheet1!$A$363:$E$1218,5,0)</f>
        <v>32890</v>
      </c>
      <c r="J25" s="2">
        <f t="shared" si="0"/>
        <v>28943.200000000001</v>
      </c>
      <c r="K25" s="2" t="str">
        <f>VLOOKUP(B25,'[2]WM-FLM'!$B$2:$AO$65,40,0)</f>
        <v>C</v>
      </c>
      <c r="L25" t="s">
        <v>73</v>
      </c>
    </row>
    <row r="26" spans="1:12" x14ac:dyDescent="0.25">
      <c r="A26">
        <f t="shared" si="1"/>
        <v>25</v>
      </c>
      <c r="B26" s="1" t="s">
        <v>26</v>
      </c>
      <c r="C26" s="6">
        <v>8903287025730</v>
      </c>
      <c r="D26" s="7" t="str">
        <f>VLOOKUP(C26,[1]Sheet1!$A$2:$E$1223,2,0)&amp;", "&amp;VLOOKUP(C26,[1]Sheet1!$A$2:$E$1223,3,0)&amp;", "&amp;VLOOKUP(C26,[1]Sheet1!$A$2:$E$1223,5,0)</f>
        <v>NEO DIVA VXS 6010, FLU, 34390</v>
      </c>
      <c r="E26" t="s">
        <v>1</v>
      </c>
      <c r="F26" t="s">
        <v>2</v>
      </c>
      <c r="G26" t="s">
        <v>158</v>
      </c>
      <c r="H26">
        <v>34390</v>
      </c>
      <c r="I26">
        <f>VLOOKUP(C26,[1]Sheet1!$A$363:$E$1218,5,0)</f>
        <v>34390</v>
      </c>
      <c r="J26" s="2">
        <f t="shared" si="0"/>
        <v>30263.200000000001</v>
      </c>
      <c r="K26" s="2" t="str">
        <f>VLOOKUP(B26,'[2]WM-FLM'!$B$2:$AO$65,40,0)</f>
        <v>C</v>
      </c>
      <c r="L26" t="s">
        <v>73</v>
      </c>
    </row>
    <row r="27" spans="1:12" x14ac:dyDescent="0.25">
      <c r="A27">
        <f t="shared" si="1"/>
        <v>26</v>
      </c>
      <c r="B27" s="3" t="s">
        <v>27</v>
      </c>
      <c r="C27" s="6">
        <v>8903287023477</v>
      </c>
      <c r="D27" s="7" t="str">
        <f>VLOOKUP(C27,[1]Sheet1!$A$2:$E$1223,2,0)&amp;", "&amp;VLOOKUP(C27,[1]Sheet1!$A$2:$E$1223,3,0)&amp;", "&amp;VLOOKUP(C27,[1]Sheet1!$A$2:$E$1223,5,0)</f>
        <v>EXECUTIVE PLUS VX ID, FLU, 48690</v>
      </c>
      <c r="E27" t="s">
        <v>1</v>
      </c>
      <c r="F27" t="s">
        <v>2</v>
      </c>
      <c r="G27" t="s">
        <v>159</v>
      </c>
      <c r="H27">
        <v>48690</v>
      </c>
      <c r="I27">
        <f>VLOOKUP(C27,[1]Sheet1!$A$363:$E$1218,5,0)</f>
        <v>48690</v>
      </c>
      <c r="J27" s="2">
        <f>H27-(0.04*H27)</f>
        <v>46742.400000000001</v>
      </c>
      <c r="K27" s="2" t="str">
        <f>VLOOKUP(B27,'[2]WM-FLM'!$B$2:$AO$65,40,0)</f>
        <v>A</v>
      </c>
      <c r="L27" t="s">
        <v>73</v>
      </c>
    </row>
    <row r="28" spans="1:12" x14ac:dyDescent="0.25">
      <c r="A28">
        <f t="shared" si="1"/>
        <v>27</v>
      </c>
      <c r="B28" s="1" t="s">
        <v>28</v>
      </c>
      <c r="C28" s="6">
        <v>8903287026072</v>
      </c>
      <c r="D28" s="7" t="str">
        <f>VLOOKUP(C28,[1]Sheet1!$A$2:$E$1223,2,0)&amp;", "&amp;VLOOKUP(C28,[1]Sheet1!$A$2:$E$1223,3,0)&amp;", "&amp;VLOOKUP(C28,[1]Sheet1!$A$2:$E$1223,5,0)</f>
        <v>ELENA PLUS SXS 6510, FLU, 37990</v>
      </c>
      <c r="E28" t="s">
        <v>1</v>
      </c>
      <c r="F28" t="s">
        <v>2</v>
      </c>
      <c r="G28" t="s">
        <v>160</v>
      </c>
      <c r="H28">
        <v>37990</v>
      </c>
      <c r="I28">
        <f>VLOOKUP(C28,[1]Sheet1!$A$363:$E$1218,5,0)</f>
        <v>37990</v>
      </c>
      <c r="J28" s="2">
        <f t="shared" ref="J28:J33" si="2">H28-(0.12*H28)</f>
        <v>33431.199999999997</v>
      </c>
      <c r="K28" s="2" t="str">
        <f>VLOOKUP(B28,'[2]WM-FLM'!$B$2:$AO$65,40,0)</f>
        <v>C</v>
      </c>
      <c r="L28" t="s">
        <v>73</v>
      </c>
    </row>
    <row r="29" spans="1:12" x14ac:dyDescent="0.25">
      <c r="A29">
        <f t="shared" si="1"/>
        <v>28</v>
      </c>
      <c r="B29" s="1" t="s">
        <v>29</v>
      </c>
      <c r="C29" s="6">
        <v>8903287026232</v>
      </c>
      <c r="D29" s="7" t="str">
        <f>VLOOKUP(C29,[1]Sheet1!$A$2:$E$1223,2,0)&amp;", "&amp;VLOOKUP(C29,[1]Sheet1!$A$2:$E$1223,3,0)&amp;", "&amp;VLOOKUP(C29,[1]Sheet1!$A$2:$E$1223,5,0)</f>
        <v>DIVA AQUA SXS 7010, FLU, 39090</v>
      </c>
      <c r="E29" t="s">
        <v>1</v>
      </c>
      <c r="F29" t="s">
        <v>2</v>
      </c>
      <c r="G29" t="s">
        <v>161</v>
      </c>
      <c r="H29">
        <v>39090</v>
      </c>
      <c r="I29">
        <f>VLOOKUP(C29,[1]Sheet1!$A$363:$E$1218,5,0)</f>
        <v>39090</v>
      </c>
      <c r="J29" s="2">
        <f t="shared" si="2"/>
        <v>34399.199999999997</v>
      </c>
      <c r="K29" s="2" t="str">
        <f>VLOOKUP(B29,'[2]WM-FLM'!$B$2:$AO$65,40,0)</f>
        <v>C</v>
      </c>
      <c r="L29" t="s">
        <v>73</v>
      </c>
    </row>
    <row r="30" spans="1:12" x14ac:dyDescent="0.25">
      <c r="A30">
        <f t="shared" si="1"/>
        <v>29</v>
      </c>
      <c r="B30" s="1" t="s">
        <v>30</v>
      </c>
      <c r="C30" s="6">
        <v>8903287026430</v>
      </c>
      <c r="D30" s="7" t="str">
        <f>VLOOKUP(C30,[1]Sheet1!$A$2:$E$1223,2,0)&amp;", "&amp;VLOOKUP(C30,[1]Sheet1!$A$2:$E$1223,3,0)&amp;", "&amp;VLOOKUP(C30,[1]Sheet1!$A$2:$E$1223,5,0)</f>
        <v>EXECUTIVE MXS ID 1014, FLU, 57990</v>
      </c>
      <c r="E30" t="s">
        <v>1</v>
      </c>
      <c r="F30" t="s">
        <v>2</v>
      </c>
      <c r="G30" t="s">
        <v>162</v>
      </c>
      <c r="H30">
        <v>57990</v>
      </c>
      <c r="I30">
        <f>VLOOKUP(C30,[1]Sheet1!$A$363:$E$1218,5,0)</f>
        <v>57990</v>
      </c>
      <c r="J30" s="2">
        <f t="shared" si="2"/>
        <v>51031.199999999997</v>
      </c>
      <c r="K30" s="2" t="str">
        <f>VLOOKUP(B30,'[2]WM-FLM'!$B$2:$AO$65,40,0)</f>
        <v>A++</v>
      </c>
      <c r="L30" t="s">
        <v>73</v>
      </c>
    </row>
    <row r="31" spans="1:12" x14ac:dyDescent="0.25">
      <c r="A31">
        <f t="shared" si="1"/>
        <v>30</v>
      </c>
      <c r="B31" s="1" t="s">
        <v>31</v>
      </c>
      <c r="C31" s="6">
        <v>8903287026577</v>
      </c>
      <c r="D31" s="7" t="str">
        <f>VLOOKUP(C31,[1]Sheet1!$A$2:$E$1223,2,0)&amp;", "&amp;VLOOKUP(C31,[1]Sheet1!$A$2:$E$1223,3,0)&amp;", "&amp;VLOOKUP(C31,[1]Sheet1!$A$2:$E$1223,5,0)</f>
        <v>EXECUTIVE PLUS VSC 1014, FLU, 63990</v>
      </c>
      <c r="E31" t="s">
        <v>1</v>
      </c>
      <c r="F31" t="s">
        <v>2</v>
      </c>
      <c r="G31" t="s">
        <v>163</v>
      </c>
      <c r="H31">
        <v>63990</v>
      </c>
      <c r="I31">
        <f>VLOOKUP(C31,[1]Sheet1!$A$363:$E$1218,5,0)</f>
        <v>63990</v>
      </c>
      <c r="J31" s="2">
        <f t="shared" si="2"/>
        <v>56311.199999999997</v>
      </c>
      <c r="K31" s="2" t="str">
        <f>VLOOKUP(B31,'[2]WM-FLM'!$B$2:$AO$65,40,0)</f>
        <v>A++</v>
      </c>
      <c r="L31" t="s">
        <v>73</v>
      </c>
    </row>
    <row r="32" spans="1:12" x14ac:dyDescent="0.25">
      <c r="A32">
        <f t="shared" si="1"/>
        <v>31</v>
      </c>
      <c r="B32" s="1" t="s">
        <v>32</v>
      </c>
      <c r="C32" s="6">
        <v>8903287026515</v>
      </c>
      <c r="D32" s="7" t="str">
        <f>VLOOKUP(C32,[1]Sheet1!$A$2:$E$1223,2,0)&amp;", "&amp;VLOOKUP(C32,[1]Sheet1!$A$2:$E$1223,3,0)&amp;", "&amp;VLOOKUP(C32,[1]Sheet1!$A$2:$E$1223,5,0)</f>
        <v>DIVA AQUA SBS 6010, FLU, 32290</v>
      </c>
      <c r="E32" t="s">
        <v>1</v>
      </c>
      <c r="F32" t="s">
        <v>2</v>
      </c>
      <c r="G32" t="s">
        <v>164</v>
      </c>
      <c r="H32">
        <v>32290</v>
      </c>
      <c r="I32">
        <f>VLOOKUP(C32,[1]Sheet1!$A$363:$E$1218,5,0)</f>
        <v>32290</v>
      </c>
      <c r="J32" s="2">
        <f t="shared" si="2"/>
        <v>28415.200000000001</v>
      </c>
      <c r="K32" s="2" t="str">
        <f>VLOOKUP(B32,'[2]WM-FLM'!$B$2:$AO$65,40,0)</f>
        <v>C</v>
      </c>
      <c r="L32" t="s">
        <v>73</v>
      </c>
    </row>
    <row r="33" spans="1:12" x14ac:dyDescent="0.25">
      <c r="A33">
        <f t="shared" si="1"/>
        <v>32</v>
      </c>
      <c r="B33" s="1" t="s">
        <v>33</v>
      </c>
      <c r="C33" s="6">
        <v>8903287025686</v>
      </c>
      <c r="D33" s="7" t="str">
        <f>VLOOKUP(C33,[1]Sheet1!$A$2:$E$1223,2,0)&amp;", "&amp;VLOOKUP(C33,[1]Sheet1!$A$2:$E$1223,3,0)&amp;", "&amp;VLOOKUP(C33,[1]Sheet1!$A$2:$E$1223,5,0)</f>
        <v>ELITE MXS 7012, FLU, 46990</v>
      </c>
      <c r="E33" t="s">
        <v>1</v>
      </c>
      <c r="F33" t="s">
        <v>2</v>
      </c>
      <c r="G33" t="s">
        <v>165</v>
      </c>
      <c r="H33">
        <v>46990</v>
      </c>
      <c r="I33">
        <f>VLOOKUP(C33,[1]Sheet1!$A$363:$E$1218,5,0)</f>
        <v>46990</v>
      </c>
      <c r="J33" s="2">
        <f t="shared" si="2"/>
        <v>41351.199999999997</v>
      </c>
      <c r="K33" s="2" t="str">
        <f>VLOOKUP(B33,'[2]WM-FLM'!$B$2:$AO$65,40,0)</f>
        <v>B</v>
      </c>
      <c r="L33" t="s">
        <v>73</v>
      </c>
    </row>
    <row r="34" spans="1:12" x14ac:dyDescent="0.25">
      <c r="A34">
        <f t="shared" si="1"/>
        <v>33</v>
      </c>
      <c r="B34" s="1" t="s">
        <v>34</v>
      </c>
      <c r="C34" s="6">
        <v>8903287025402</v>
      </c>
      <c r="D34" s="7" t="str">
        <f>VLOOKUP(C34,[1]Sheet1!$A$2:$E$1223,2,0)&amp;", "&amp;VLOOKUP(C34,[1]Sheet1!$A$2:$E$1223,3,0)&amp;", "&amp;VLOOKUP(C34,[1]Sheet1!$A$2:$E$1223,5,0)</f>
        <v>SENATOR VSS 8012, FLU, 40990</v>
      </c>
      <c r="E34" t="s">
        <v>1</v>
      </c>
      <c r="F34" t="s">
        <v>2</v>
      </c>
      <c r="G34" t="s">
        <v>166</v>
      </c>
      <c r="H34">
        <v>40990</v>
      </c>
      <c r="I34">
        <f>VLOOKUP(C34,[1]Sheet1!$A$363:$E$1218,5,0)</f>
        <v>40990</v>
      </c>
      <c r="J34" s="2">
        <f>H34-(0.04*H34)</f>
        <v>39350.400000000001</v>
      </c>
      <c r="K34" s="2" t="str">
        <f>VLOOKUP(B34,'[2]WM-FLM'!$B$2:$AO$65,40,0)</f>
        <v>C</v>
      </c>
      <c r="L34" t="s">
        <v>73</v>
      </c>
    </row>
    <row r="35" spans="1:12" x14ac:dyDescent="0.25">
      <c r="A35">
        <f t="shared" si="1"/>
        <v>34</v>
      </c>
      <c r="B35" s="1" t="s">
        <v>35</v>
      </c>
      <c r="C35" s="6">
        <v>8903287026058</v>
      </c>
      <c r="D35" s="7" t="str">
        <f>VLOOKUP(C35,[1]Sheet1!$A$2:$E$1223,2,0)&amp;", "&amp;VLOOKUP(C35,[1]Sheet1!$A$2:$E$1223,3,0)&amp;", "&amp;VLOOKUP(C35,[1]Sheet1!$A$2:$E$1223,5,0)</f>
        <v>EXECUTIVE SXS 9014, FLU, 47690</v>
      </c>
      <c r="E35" t="s">
        <v>1</v>
      </c>
      <c r="F35" t="s">
        <v>2</v>
      </c>
      <c r="G35" t="s">
        <v>167</v>
      </c>
      <c r="H35">
        <v>47690</v>
      </c>
      <c r="I35">
        <f>VLOOKUP(C35,[1]Sheet1!$A$363:$E$1218,5,0)</f>
        <v>47690</v>
      </c>
      <c r="J35" s="2">
        <f>H35-(0.04*H35)</f>
        <v>45782.400000000001</v>
      </c>
      <c r="K35" s="2" t="str">
        <f>VLOOKUP(B35,'[2]WM-FLM'!$B$2:$AO$65,40,0)</f>
        <v>B</v>
      </c>
      <c r="L35" t="s">
        <v>73</v>
      </c>
    </row>
    <row r="36" spans="1:12" x14ac:dyDescent="0.25">
      <c r="A36">
        <f t="shared" si="1"/>
        <v>35</v>
      </c>
      <c r="B36" s="1" t="s">
        <v>36</v>
      </c>
      <c r="C36" s="6">
        <v>8903287025679</v>
      </c>
      <c r="D36" s="7" t="str">
        <f>VLOOKUP(C36,[1]Sheet1!$A$2:$E$1223,2,0)&amp;", "&amp;VLOOKUP(C36,[1]Sheet1!$A$2:$E$1223,3,0)&amp;", "&amp;VLOOKUP(C36,[1]Sheet1!$A$2:$E$1223,5,0)</f>
        <v>ELITE PLUS WSS 7012, FLU, 40490</v>
      </c>
      <c r="E36" t="s">
        <v>1</v>
      </c>
      <c r="F36" t="s">
        <v>2</v>
      </c>
      <c r="G36" t="s">
        <v>168</v>
      </c>
      <c r="H36">
        <v>40490</v>
      </c>
      <c r="I36">
        <f>VLOOKUP(C36,[1]Sheet1!$A$363:$E$1218,5,0)</f>
        <v>40490</v>
      </c>
      <c r="J36" s="2">
        <f>H36-(0.04*H36)</f>
        <v>38870.400000000001</v>
      </c>
      <c r="K36" s="2" t="str">
        <f>VLOOKUP(B36,'[2]WM-FLM'!$B$2:$AO$65,40,0)</f>
        <v>C</v>
      </c>
      <c r="L36" t="s">
        <v>73</v>
      </c>
    </row>
    <row r="37" spans="1:12" x14ac:dyDescent="0.25">
      <c r="A37">
        <f t="shared" si="1"/>
        <v>36</v>
      </c>
      <c r="B37" s="1" t="s">
        <v>37</v>
      </c>
      <c r="C37" s="6">
        <v>8903287026638</v>
      </c>
      <c r="D37" s="7" t="str">
        <f>VLOOKUP(C37,[1]Sheet1!$A$2:$E$1223,2,0)&amp;", "&amp;VLOOKUP(C37,[1]Sheet1!$A$2:$E$1223,3,0)&amp;", "&amp;VLOOKUP(C37,[1]Sheet1!$A$2:$E$1223,5,0)</f>
        <v>EXECUTIVE MSC 9014, FLU, 59990</v>
      </c>
      <c r="E37" t="s">
        <v>1</v>
      </c>
      <c r="F37" t="s">
        <v>2</v>
      </c>
      <c r="G37" t="s">
        <v>169</v>
      </c>
      <c r="H37">
        <v>59990</v>
      </c>
      <c r="I37">
        <f>VLOOKUP(C37,[1]Sheet1!$A$363:$E$1218,5,0)</f>
        <v>59990</v>
      </c>
      <c r="J37" s="2">
        <f>H37-(0.12*H37)</f>
        <v>52791.199999999997</v>
      </c>
      <c r="K37" s="2" t="str">
        <f>VLOOKUP(B37,'[2]WM-FLM'!$B$2:$AO$65,40,0)</f>
        <v>A++</v>
      </c>
      <c r="L37" t="s">
        <v>73</v>
      </c>
    </row>
    <row r="38" spans="1:12" x14ac:dyDescent="0.25">
      <c r="A38">
        <f t="shared" si="1"/>
        <v>37</v>
      </c>
      <c r="B38" s="1" t="s">
        <v>38</v>
      </c>
      <c r="C38" s="6">
        <v>8903287024580</v>
      </c>
      <c r="D38" s="7" t="str">
        <f>VLOOKUP(C38,[1]Sheet1!$A$2:$E$1223,2,0)&amp;", "&amp;VLOOKUP(C38,[1]Sheet1!$A$2:$E$1223,3,0)&amp;", "&amp;VLOOKUP(C38,[1]Sheet1!$A$2:$E$1223,5,0)</f>
        <v>SENATOR VXS 0812, FLU, 40990</v>
      </c>
      <c r="E38" t="s">
        <v>1</v>
      </c>
      <c r="F38" t="s">
        <v>2</v>
      </c>
      <c r="G38" t="s">
        <v>170</v>
      </c>
      <c r="H38">
        <v>40990</v>
      </c>
      <c r="I38">
        <f>VLOOKUP(C38,[1]Sheet1!$A$363:$E$1218,5,0)</f>
        <v>40990</v>
      </c>
      <c r="J38" s="2">
        <f>H38-(0.04*H38)</f>
        <v>39350.400000000001</v>
      </c>
      <c r="K38" s="2" t="str">
        <f>VLOOKUP(B38,'[2]WM-FLM'!$B$2:$AO$65,40,0)</f>
        <v>C</v>
      </c>
      <c r="L38" t="s">
        <v>73</v>
      </c>
    </row>
    <row r="39" spans="1:12" x14ac:dyDescent="0.25">
      <c r="A39">
        <f t="shared" si="1"/>
        <v>38</v>
      </c>
      <c r="B39" s="1" t="s">
        <v>39</v>
      </c>
      <c r="C39" s="6">
        <v>8903287026089</v>
      </c>
      <c r="D39" s="7" t="str">
        <f>VLOOKUP(C39,[1]Sheet1!$A$2:$E$1223,2,0)&amp;", "&amp;VLOOKUP(C39,[1]Sheet1!$A$2:$E$1223,3,0)&amp;", "&amp;VLOOKUP(C39,[1]Sheet1!$A$2:$E$1223,5,0)</f>
        <v>ELENA SBS 6510, FLU, 37090</v>
      </c>
      <c r="E39" t="s">
        <v>1</v>
      </c>
      <c r="F39" t="s">
        <v>2</v>
      </c>
      <c r="G39" t="s">
        <v>171</v>
      </c>
      <c r="H39">
        <v>37090</v>
      </c>
      <c r="I39">
        <f>VLOOKUP(C39,[1]Sheet1!$A$363:$E$1218,5,0)</f>
        <v>37090</v>
      </c>
      <c r="J39" s="2">
        <f>H39-(0.12*H39)</f>
        <v>32639.200000000001</v>
      </c>
      <c r="K39" s="2" t="str">
        <f>VLOOKUP(B39,'[2]WM-FLM'!$B$2:$AO$65,40,0)</f>
        <v>C</v>
      </c>
      <c r="L39" t="s">
        <v>73</v>
      </c>
    </row>
    <row r="40" spans="1:12" x14ac:dyDescent="0.25">
      <c r="A40">
        <f t="shared" si="1"/>
        <v>39</v>
      </c>
      <c r="B40" s="1" t="s">
        <v>40</v>
      </c>
      <c r="C40" s="6">
        <v>8903287025617</v>
      </c>
      <c r="D40" s="7" t="str">
        <f>VLOOKUP(C40,[1]Sheet1!$A$2:$E$1223,2,0)&amp;", "&amp;VLOOKUP(C40,[1]Sheet1!$A$2:$E$1223,3,0)&amp;", "&amp;VLOOKUP(C40,[1]Sheet1!$A$2:$E$1223,5,0)</f>
        <v>NEO DIVA VXS 7010, FLU, 40990</v>
      </c>
      <c r="E40" t="s">
        <v>1</v>
      </c>
      <c r="F40" t="s">
        <v>2</v>
      </c>
      <c r="G40" t="s">
        <v>172</v>
      </c>
      <c r="H40">
        <v>35990</v>
      </c>
      <c r="I40">
        <f>VLOOKUP(C40,[1]Sheet1!$A$363:$E$1218,5,0)</f>
        <v>40990</v>
      </c>
      <c r="J40" s="2">
        <f>H40-(0.04*H40)</f>
        <v>34550.400000000001</v>
      </c>
      <c r="K40" s="2" t="str">
        <f>VLOOKUP(B40,'[2]WM-FLM'!$B$2:$AO$65,40,0)</f>
        <v>C</v>
      </c>
      <c r="L40" t="s">
        <v>73</v>
      </c>
    </row>
    <row r="41" spans="1:12" x14ac:dyDescent="0.25">
      <c r="A41">
        <f t="shared" si="1"/>
        <v>40</v>
      </c>
      <c r="B41" s="1" t="s">
        <v>41</v>
      </c>
      <c r="C41" s="6">
        <v>8903287025594</v>
      </c>
      <c r="D41" s="7" t="str">
        <f>VLOOKUP(C41,[1]Sheet1!$A$2:$E$1223,2,0)&amp;", "&amp;VLOOKUP(C41,[1]Sheet1!$A$2:$E$1223,3,0)&amp;", "&amp;VLOOKUP(C41,[1]Sheet1!$A$2:$E$1223,5,0)</f>
        <v>SENATOR PLUS VXS 8012, FLU, 47190</v>
      </c>
      <c r="E41" t="s">
        <v>1</v>
      </c>
      <c r="F41" t="s">
        <v>2</v>
      </c>
      <c r="G41" t="s">
        <v>173</v>
      </c>
      <c r="H41">
        <v>47190</v>
      </c>
      <c r="I41">
        <f>VLOOKUP(C41,[1]Sheet1!$A$363:$E$1218,5,0)</f>
        <v>47190</v>
      </c>
      <c r="J41" s="2">
        <f>H41-(0.12*H41)</f>
        <v>41527.199999999997</v>
      </c>
      <c r="K41" s="2" t="str">
        <f>VLOOKUP(B41,'[2]WM-FLM'!$B$2:$AO$65,40,0)</f>
        <v>B</v>
      </c>
      <c r="L41" t="s">
        <v>73</v>
      </c>
    </row>
    <row r="42" spans="1:12" x14ac:dyDescent="0.25">
      <c r="A42">
        <f t="shared" si="1"/>
        <v>41</v>
      </c>
      <c r="B42" s="1" t="s">
        <v>42</v>
      </c>
      <c r="C42" s="6">
        <v>8903287025631</v>
      </c>
      <c r="D42" s="7" t="str">
        <f>VLOOKUP(C42,[1]Sheet1!$A$2:$E$1223,2,0)&amp;", "&amp;VLOOKUP(C42,[1]Sheet1!$A$2:$E$1223,3,0)&amp;", "&amp;VLOOKUP(C42,[1]Sheet1!$A$2:$E$1223,5,0)</f>
        <v>NEO DIVA BXS 7010, FLU, 41190</v>
      </c>
      <c r="E42" t="s">
        <v>1</v>
      </c>
      <c r="F42" t="s">
        <v>2</v>
      </c>
      <c r="G42" t="s">
        <v>174</v>
      </c>
      <c r="H42">
        <v>41190</v>
      </c>
      <c r="I42">
        <f>VLOOKUP(C42,[1]Sheet1!$A$363:$E$1218,5,0)</f>
        <v>41190</v>
      </c>
      <c r="J42" s="2">
        <f>H42-(0.12*H42)</f>
        <v>36247.199999999997</v>
      </c>
      <c r="K42" s="2" t="str">
        <f>VLOOKUP(B42,'[2]WM-FLM'!$B$2:$AO$65,40,0)</f>
        <v>C</v>
      </c>
      <c r="L42" t="s">
        <v>73</v>
      </c>
    </row>
    <row r="43" spans="1:12" x14ac:dyDescent="0.25">
      <c r="A43">
        <f t="shared" si="1"/>
        <v>42</v>
      </c>
      <c r="B43" s="1" t="s">
        <v>43</v>
      </c>
      <c r="C43" s="6">
        <v>8903287026713</v>
      </c>
      <c r="D43" s="7" t="str">
        <f>VLOOKUP(C43,[1]Sheet1!$A$2:$E$1223,2,0)&amp;", "&amp;VLOOKUP(C43,[1]Sheet1!$A$2:$E$1223,3,0)&amp;", "&amp;VLOOKUP(C43,[1]Sheet1!$A$2:$E$1223,5,0)</f>
        <v>SENATOR NEO MXS 8012, FLU, 48990</v>
      </c>
      <c r="E43" t="s">
        <v>1</v>
      </c>
      <c r="F43" t="s">
        <v>2</v>
      </c>
      <c r="G43" t="s">
        <v>175</v>
      </c>
      <c r="H43">
        <v>48990</v>
      </c>
      <c r="I43">
        <f>VLOOKUP(C43,[1]Sheet1!$A$363:$E$1218,5,0)</f>
        <v>48990</v>
      </c>
      <c r="J43" s="2">
        <f>H43-(0.12*H43)</f>
        <v>43111.199999999997</v>
      </c>
      <c r="K43" s="2" t="str">
        <f>VLOOKUP(B43,'[2]WM-FLM'!$B$2:$AO$65,40,0)</f>
        <v>A</v>
      </c>
      <c r="L43" t="s">
        <v>73</v>
      </c>
    </row>
    <row r="44" spans="1:12" x14ac:dyDescent="0.25">
      <c r="A44">
        <f t="shared" si="1"/>
        <v>43</v>
      </c>
      <c r="B44" s="1" t="s">
        <v>44</v>
      </c>
      <c r="C44" s="6">
        <v>8903287026171</v>
      </c>
      <c r="D44" s="7" t="str">
        <f>VLOOKUP(C44,[1]Sheet1!$A$2:$E$1223,2,0)&amp;", "&amp;VLOOKUP(C44,[1]Sheet1!$A$2:$E$1223,3,0)&amp;", "&amp;VLOOKUP(C44,[1]Sheet1!$A$2:$E$1223,5,0)</f>
        <v>SENATOR NEO SXS 8012, FLU, 47990</v>
      </c>
      <c r="E44" t="s">
        <v>1</v>
      </c>
      <c r="F44" t="s">
        <v>2</v>
      </c>
      <c r="G44" t="s">
        <v>176</v>
      </c>
      <c r="H44">
        <v>47990</v>
      </c>
      <c r="I44">
        <f>VLOOKUP(C44,[1]Sheet1!$A$363:$E$1218,5,0)</f>
        <v>47990</v>
      </c>
      <c r="J44" s="2">
        <f>H44-(0.12*H44)</f>
        <v>42231.199999999997</v>
      </c>
      <c r="K44" s="2" t="str">
        <f>VLOOKUP(B44,'[2]WM-FLM'!$B$2:$AO$65,40,0)</f>
        <v>B</v>
      </c>
      <c r="L44" t="s">
        <v>73</v>
      </c>
    </row>
    <row r="45" spans="1:12" x14ac:dyDescent="0.25">
      <c r="A45">
        <f t="shared" si="1"/>
        <v>44</v>
      </c>
      <c r="B45" s="1" t="s">
        <v>45</v>
      </c>
      <c r="C45" s="6">
        <v>8903287026164</v>
      </c>
      <c r="D45" s="7" t="str">
        <f>VLOOKUP(C45,[1]Sheet1!$A$2:$E$1223,2,0)&amp;", "&amp;VLOOKUP(C45,[1]Sheet1!$A$2:$E$1223,3,0)&amp;", "&amp;VLOOKUP(C45,[1]Sheet1!$A$2:$E$1223,5,0)</f>
        <v>SENATOR NEO VXS 8012, FLU, 46490</v>
      </c>
      <c r="E45" t="s">
        <v>1</v>
      </c>
      <c r="F45" t="s">
        <v>2</v>
      </c>
      <c r="G45" t="s">
        <v>177</v>
      </c>
      <c r="H45">
        <v>46490</v>
      </c>
      <c r="I45">
        <f>VLOOKUP(C45,[1]Sheet1!$A$363:$E$1218,5,0)</f>
        <v>46490</v>
      </c>
      <c r="J45" s="2">
        <f>H45-(0.12*H45)</f>
        <v>40911.199999999997</v>
      </c>
      <c r="K45" s="2" t="str">
        <f>VLOOKUP(B45,'[2]WM-FLM'!$B$2:$AO$65,40,0)</f>
        <v>B</v>
      </c>
      <c r="L45" t="s">
        <v>73</v>
      </c>
    </row>
    <row r="46" spans="1:12" x14ac:dyDescent="0.25">
      <c r="A46">
        <f t="shared" si="1"/>
        <v>45</v>
      </c>
      <c r="B46" s="1" t="s">
        <v>46</v>
      </c>
      <c r="C46" s="6">
        <v>8903287025648</v>
      </c>
      <c r="D46" s="7" t="str">
        <f>VLOOKUP(C46,[1]Sheet1!$A$2:$E$1223,2,0)&amp;", "&amp;VLOOKUP(C46,[1]Sheet1!$A$2:$E$1223,3,0)&amp;", "&amp;VLOOKUP(C46,[1]Sheet1!$A$2:$E$1223,5,0)</f>
        <v>NEO DIVA WSS 7010, FLU, 36690</v>
      </c>
      <c r="E46" t="s">
        <v>1</v>
      </c>
      <c r="F46" t="s">
        <v>2</v>
      </c>
      <c r="G46" t="s">
        <v>178</v>
      </c>
      <c r="H46">
        <v>36690</v>
      </c>
      <c r="I46">
        <f>VLOOKUP(C46,[1]Sheet1!$A$363:$E$1218,5,0)</f>
        <v>36690</v>
      </c>
      <c r="J46" s="2">
        <f>H46-(0.04*H46)</f>
        <v>35222.400000000001</v>
      </c>
      <c r="K46" s="2" t="str">
        <f>VLOOKUP(B46,'[2]WM-FLM'!$B$2:$AO$65,40,0)</f>
        <v>C</v>
      </c>
      <c r="L46" t="s">
        <v>73</v>
      </c>
    </row>
    <row r="47" spans="1:12" x14ac:dyDescent="0.25">
      <c r="A47">
        <f t="shared" si="1"/>
        <v>46</v>
      </c>
      <c r="B47" s="1" t="s">
        <v>47</v>
      </c>
      <c r="C47" s="6">
        <v>8903287025754</v>
      </c>
      <c r="D47" s="7" t="str">
        <f>VLOOKUP(C47,[1]Sheet1!$A$2:$E$1223,2,0)&amp;", "&amp;VLOOKUP(C47,[1]Sheet1!$A$2:$E$1223,3,0)&amp;", "&amp;VLOOKUP(C47,[1]Sheet1!$A$2:$E$1223,5,0)</f>
        <v>EVA PLUS ZWS 6010, FLU, 32790</v>
      </c>
      <c r="E47" t="s">
        <v>1</v>
      </c>
      <c r="F47" t="s">
        <v>2</v>
      </c>
      <c r="G47" t="s">
        <v>179</v>
      </c>
      <c r="H47">
        <v>32790</v>
      </c>
      <c r="I47">
        <f>VLOOKUP(C47,[1]Sheet1!$A$363:$E$1218,5,0)</f>
        <v>32790</v>
      </c>
      <c r="J47" s="2">
        <f>H47-(0.04*H47)</f>
        <v>31478.400000000001</v>
      </c>
      <c r="K47" s="2" t="str">
        <f>VLOOKUP(B47,'[2]WM-FLM'!$B$2:$AO$65,40,0)</f>
        <v>C</v>
      </c>
      <c r="L47" t="s">
        <v>73</v>
      </c>
    </row>
    <row r="48" spans="1:12" x14ac:dyDescent="0.25">
      <c r="A48">
        <f t="shared" si="1"/>
        <v>47</v>
      </c>
      <c r="B48" s="1" t="s">
        <v>48</v>
      </c>
      <c r="C48" s="6">
        <v>8903287026492</v>
      </c>
      <c r="D48" s="7" t="str">
        <f>VLOOKUP(C48,[1]Sheet1!$A$2:$E$1223,2,0)&amp;", "&amp;VLOOKUP(C48,[1]Sheet1!$A$2:$E$1223,3,0)&amp;", "&amp;VLOOKUP(C48,[1]Sheet1!$A$2:$E$1223,5,0)</f>
        <v>DIVA AQUA VSS 6010, FLU, 30990</v>
      </c>
      <c r="E48" t="s">
        <v>1</v>
      </c>
      <c r="F48" t="s">
        <v>2</v>
      </c>
      <c r="G48" t="s">
        <v>180</v>
      </c>
      <c r="H48">
        <v>30990</v>
      </c>
      <c r="I48">
        <f>VLOOKUP(C48,[1]Sheet1!$A$363:$E$1218,5,0)</f>
        <v>30990</v>
      </c>
      <c r="J48" s="2">
        <f>H48-(0.12*H48)</f>
        <v>27271.200000000001</v>
      </c>
      <c r="K48" s="2" t="str">
        <f>VLOOKUP(B48,'[2]WM-FLM'!$B$2:$AO$65,40,0)</f>
        <v>C</v>
      </c>
      <c r="L48" t="s">
        <v>73</v>
      </c>
    </row>
    <row r="49" spans="1:12" x14ac:dyDescent="0.25">
      <c r="A49">
        <f t="shared" si="1"/>
        <v>48</v>
      </c>
      <c r="B49" s="1" t="s">
        <v>49</v>
      </c>
      <c r="C49" s="6">
        <v>8903287025723</v>
      </c>
      <c r="D49" s="7" t="str">
        <f>VLOOKUP(C49,[1]Sheet1!$A$2:$E$1223,2,0)&amp;", "&amp;VLOOKUP(C49,[1]Sheet1!$A$2:$E$1223,3,0)&amp;", "&amp;VLOOKUP(C49,[1]Sheet1!$A$2:$E$1223,5,0)</f>
        <v>ELENA SXS 6510, FLU, 36290</v>
      </c>
      <c r="E49" t="s">
        <v>1</v>
      </c>
      <c r="F49" t="s">
        <v>2</v>
      </c>
      <c r="G49" t="s">
        <v>181</v>
      </c>
      <c r="H49">
        <v>36290</v>
      </c>
      <c r="I49">
        <f>VLOOKUP(C49,[1]Sheet1!$A$363:$E$1218,5,0)</f>
        <v>36290</v>
      </c>
      <c r="J49" s="2">
        <f>H49-(0.12*H49)</f>
        <v>31935.200000000001</v>
      </c>
      <c r="K49" s="2" t="str">
        <f>VLOOKUP(B49,'[2]WM-FLM'!$B$2:$AO$65,40,0)</f>
        <v>C</v>
      </c>
      <c r="L49" t="s">
        <v>73</v>
      </c>
    </row>
    <row r="50" spans="1:12" x14ac:dyDescent="0.25">
      <c r="A50">
        <f t="shared" si="1"/>
        <v>49</v>
      </c>
      <c r="B50" s="3" t="s">
        <v>50</v>
      </c>
      <c r="C50" s="6">
        <v>8903287023941</v>
      </c>
      <c r="D50" s="7" t="str">
        <f>VLOOKUP(C50,[1]Sheet1!$A$2:$E$1223,2,0)&amp;", "&amp;VLOOKUP(C50,[1]Sheet1!$A$2:$E$1223,3,0)&amp;", "&amp;VLOOKUP(C50,[1]Sheet1!$A$2:$E$1223,5,0)</f>
        <v>SENORITA WXS, FLU, 38790</v>
      </c>
      <c r="E50" t="s">
        <v>1</v>
      </c>
      <c r="F50" t="s">
        <v>2</v>
      </c>
      <c r="G50" t="s">
        <v>182</v>
      </c>
      <c r="H50">
        <v>38790</v>
      </c>
      <c r="I50">
        <f>VLOOKUP(C50,[1]Sheet1!$A$363:$E$1218,5,0)</f>
        <v>38790</v>
      </c>
      <c r="J50" s="2">
        <f t="shared" ref="J50:J55" si="3">H50-(0.04*H50)</f>
        <v>37238.400000000001</v>
      </c>
      <c r="K50" s="2" t="str">
        <f>VLOOKUP(B50,'[2]WM-FLM'!$B$2:$AO$65,40,0)</f>
        <v>C</v>
      </c>
      <c r="L50" t="s">
        <v>73</v>
      </c>
    </row>
    <row r="51" spans="1:12" x14ac:dyDescent="0.25">
      <c r="A51">
        <f t="shared" si="1"/>
        <v>50</v>
      </c>
      <c r="B51" s="3" t="s">
        <v>51</v>
      </c>
      <c r="C51" s="6">
        <v>8903287024139</v>
      </c>
      <c r="D51" s="7" t="str">
        <f>VLOOKUP(C51,[1]Sheet1!$A$2:$E$1223,2,0)&amp;", "&amp;VLOOKUP(C51,[1]Sheet1!$A$2:$E$1223,3,0)&amp;", "&amp;VLOOKUP(C51,[1]Sheet1!$A$2:$E$1223,5,0)</f>
        <v>ELENA ZX, FLU, 34590</v>
      </c>
      <c r="E51" t="s">
        <v>1</v>
      </c>
      <c r="F51" t="s">
        <v>2</v>
      </c>
      <c r="G51" t="s">
        <v>183</v>
      </c>
      <c r="H51">
        <v>34590</v>
      </c>
      <c r="I51">
        <f>VLOOKUP(C51,[1]Sheet1!$A$363:$E$1218,5,0)</f>
        <v>34590</v>
      </c>
      <c r="J51" s="2">
        <f t="shared" si="3"/>
        <v>33206.400000000001</v>
      </c>
      <c r="K51" s="2" t="str">
        <f>VLOOKUP(B51,'[2]WM-FLM'!$B$2:$AO$65,40,0)</f>
        <v>C</v>
      </c>
      <c r="L51" t="s">
        <v>73</v>
      </c>
    </row>
    <row r="52" spans="1:12" x14ac:dyDescent="0.25">
      <c r="A52">
        <f t="shared" si="1"/>
        <v>51</v>
      </c>
      <c r="B52" s="3" t="s">
        <v>52</v>
      </c>
      <c r="C52" s="6">
        <v>8903287024320</v>
      </c>
      <c r="D52" s="7" t="str">
        <f>VLOOKUP(C52,[1]Sheet1!$A$2:$E$1223,2,0)&amp;", "&amp;VLOOKUP(C52,[1]Sheet1!$A$2:$E$1223,3,0)&amp;", "&amp;VLOOKUP(C52,[1]Sheet1!$A$2:$E$1223,5,0)</f>
        <v>ELITE ZXS, FLU, 39290</v>
      </c>
      <c r="E52" t="s">
        <v>1</v>
      </c>
      <c r="F52" t="s">
        <v>2</v>
      </c>
      <c r="G52" t="s">
        <v>184</v>
      </c>
      <c r="H52">
        <v>39290</v>
      </c>
      <c r="I52">
        <f>VLOOKUP(C52,[1]Sheet1!$A$363:$E$1218,5,0)</f>
        <v>39290</v>
      </c>
      <c r="J52" s="2">
        <f t="shared" si="3"/>
        <v>37718.400000000001</v>
      </c>
      <c r="K52" s="2" t="str">
        <f>VLOOKUP(B52,'[2]WM-FLM'!$B$2:$AO$65,40,0)</f>
        <v>C</v>
      </c>
      <c r="L52" t="s">
        <v>73</v>
      </c>
    </row>
    <row r="53" spans="1:12" x14ac:dyDescent="0.25">
      <c r="A53">
        <f t="shared" si="1"/>
        <v>52</v>
      </c>
      <c r="B53" s="3" t="s">
        <v>53</v>
      </c>
      <c r="C53" s="6">
        <v>8903287024597</v>
      </c>
      <c r="D53" s="7" t="str">
        <f>VLOOKUP(C53,[1]Sheet1!$A$2:$E$1223,2,0)&amp;", "&amp;VLOOKUP(C53,[1]Sheet1!$A$2:$E$1223,3,0)&amp;", "&amp;VLOOKUP(C53,[1]Sheet1!$A$2:$E$1223,5,0)</f>
        <v>SENATOR SMART TOUCH SX 8514, FLU, 50490</v>
      </c>
      <c r="E53" t="s">
        <v>1</v>
      </c>
      <c r="F53" t="s">
        <v>2</v>
      </c>
      <c r="G53" t="s">
        <v>185</v>
      </c>
      <c r="H53">
        <v>50490</v>
      </c>
      <c r="I53">
        <f>VLOOKUP(C53,[1]Sheet1!$A$363:$E$1218,5,0)</f>
        <v>50490</v>
      </c>
      <c r="J53" s="2">
        <f t="shared" si="3"/>
        <v>48470.400000000001</v>
      </c>
      <c r="K53" s="2" t="str">
        <f>VLOOKUP(B53,'[2]WM-FLM'!$B$2:$AO$65,40,0)</f>
        <v>A</v>
      </c>
      <c r="L53" t="s">
        <v>73</v>
      </c>
    </row>
    <row r="54" spans="1:12" x14ac:dyDescent="0.25">
      <c r="A54">
        <f t="shared" si="1"/>
        <v>53</v>
      </c>
      <c r="B54" s="3" t="s">
        <v>54</v>
      </c>
      <c r="C54" s="6">
        <v>8903287024382</v>
      </c>
      <c r="D54" s="7" t="str">
        <f>VLOOKUP(C54,[1]Sheet1!$A$2:$E$1223,2,0)&amp;", "&amp;VLOOKUP(C54,[1]Sheet1!$A$2:$E$1223,3,0)&amp;", "&amp;VLOOKUP(C54,[1]Sheet1!$A$2:$E$1223,5,0)</f>
        <v>SERENA WXS, FLU, 39790</v>
      </c>
      <c r="E54" t="s">
        <v>1</v>
      </c>
      <c r="F54" t="s">
        <v>2</v>
      </c>
      <c r="G54" t="s">
        <v>186</v>
      </c>
      <c r="H54">
        <v>39790</v>
      </c>
      <c r="I54">
        <f>VLOOKUP(C54,[1]Sheet1!$A$363:$E$1218,5,0)</f>
        <v>39790</v>
      </c>
      <c r="J54" s="2">
        <f t="shared" si="3"/>
        <v>38198.400000000001</v>
      </c>
      <c r="K54" s="2" t="str">
        <f>VLOOKUP(B54,'[2]WM-FLM'!$B$2:$AO$65,40,0)</f>
        <v>C</v>
      </c>
      <c r="L54" t="s">
        <v>73</v>
      </c>
    </row>
    <row r="55" spans="1:12" x14ac:dyDescent="0.25">
      <c r="A55">
        <f t="shared" si="1"/>
        <v>54</v>
      </c>
      <c r="B55" s="3" t="s">
        <v>55</v>
      </c>
      <c r="C55" s="6">
        <v>8903287026256</v>
      </c>
      <c r="D55" s="7" t="str">
        <f>VLOOKUP(C55,[1]Sheet1!$A$2:$E$1223,2,0)&amp;", "&amp;VLOOKUP(C55,[1]Sheet1!$A$2:$E$1223,3,0)&amp;", "&amp;VLOOKUP(C55,[1]Sheet1!$A$2:$E$1223,5,0)</f>
        <v>EXECUTIVE SMART TOUCH SXS 9014, FLU, 51990</v>
      </c>
      <c r="E55" t="s">
        <v>1</v>
      </c>
      <c r="F55" t="s">
        <v>2</v>
      </c>
      <c r="G55" t="s">
        <v>187</v>
      </c>
      <c r="H55">
        <v>51990</v>
      </c>
      <c r="I55">
        <f>VLOOKUP(C55,[1]Sheet1!$A$363:$E$1218,5,0)</f>
        <v>51990</v>
      </c>
      <c r="J55" s="2">
        <f t="shared" si="3"/>
        <v>49910.400000000001</v>
      </c>
      <c r="K55" s="2" t="str">
        <f>VLOOKUP(B55,'[2]WM-FLM'!$B$2:$AO$65,40,0)</f>
        <v>A+</v>
      </c>
      <c r="L55" t="s">
        <v>73</v>
      </c>
    </row>
    <row r="56" spans="1:12" x14ac:dyDescent="0.25">
      <c r="A56">
        <f t="shared" si="1"/>
        <v>55</v>
      </c>
      <c r="B56" s="1" t="s">
        <v>56</v>
      </c>
      <c r="C56" s="7" t="e">
        <f>VLOOKUP(B56,[1]Sheet1!$A$2:$E$1223,2,0)&amp;", "&amp;VLOOKUP(B56,[1]Sheet1!$A$2:$E$1223,3,0)&amp;", "&amp;VLOOKUP(B56,[1]Sheet1!$A$2:$E$1223,5,0)</f>
        <v>#N/A</v>
      </c>
      <c r="D56" s="7" t="e">
        <f>VLOOKUP(C56,[1]Sheet1!$A$2:$E$1223,2,0)&amp;", "&amp;VLOOKUP(C56,[1]Sheet1!$A$2:$E$1223,3,0)&amp;", "&amp;VLOOKUP(C56,[1]Sheet1!$A$2:$E$1223,5,0)</f>
        <v>#N/A</v>
      </c>
      <c r="E56" t="s">
        <v>1</v>
      </c>
      <c r="F56" t="s">
        <v>2</v>
      </c>
      <c r="G56" t="s">
        <v>188</v>
      </c>
      <c r="H56">
        <v>47290</v>
      </c>
      <c r="I56" t="e">
        <f>VLOOKUP(C56,[1]Sheet1!$A$363:$E$1218,5,0)</f>
        <v>#N/A</v>
      </c>
      <c r="J56" s="2">
        <f>H56-(0*H56)</f>
        <v>47290</v>
      </c>
      <c r="K56" s="2" t="str">
        <f>VLOOKUP(B56,'[2]WM-FLM'!$B$2:$AO$65,40,0)</f>
        <v>B</v>
      </c>
      <c r="L56" t="s">
        <v>73</v>
      </c>
    </row>
    <row r="57" spans="1:12" x14ac:dyDescent="0.25">
      <c r="A57">
        <f t="shared" si="1"/>
        <v>56</v>
      </c>
      <c r="B57" s="1" t="s">
        <v>57</v>
      </c>
      <c r="C57" s="6">
        <v>8903287025938</v>
      </c>
      <c r="D57" s="7" t="str">
        <f>VLOOKUP(C57,[1]Sheet1!$A$2:$E$1223,2,0)&amp;", "&amp;VLOOKUP(C57,[1]Sheet1!$A$2:$E$1223,3,0)&amp;", "&amp;VLOOKUP(C57,[1]Sheet1!$A$2:$E$1223,5,0)</f>
        <v>DIVA AQUA SBS 6008, FLU, 27690</v>
      </c>
      <c r="E57" t="s">
        <v>1</v>
      </c>
      <c r="F57" t="s">
        <v>2</v>
      </c>
      <c r="G57" t="s">
        <v>189</v>
      </c>
      <c r="H57">
        <v>28190</v>
      </c>
      <c r="I57">
        <f>VLOOKUP(C57,[1]Sheet1!$A$363:$E$1218,5,0)</f>
        <v>27690</v>
      </c>
      <c r="J57" s="2">
        <f>H57-(0.04*H57)</f>
        <v>27062.400000000001</v>
      </c>
      <c r="K57" s="2" t="str">
        <f>VLOOKUP(B57,'[2]WM-FLM'!$B$2:$AO$65,40,0)</f>
        <v>C</v>
      </c>
      <c r="L57" t="s">
        <v>73</v>
      </c>
    </row>
    <row r="58" spans="1:12" x14ac:dyDescent="0.25">
      <c r="A58">
        <f t="shared" si="1"/>
        <v>57</v>
      </c>
      <c r="B58" s="1" t="s">
        <v>58</v>
      </c>
      <c r="C58" s="7" t="e">
        <f>VLOOKUP(B58,[1]Sheet1!$A$2:$E$1223,2,0)&amp;", "&amp;VLOOKUP(B58,[1]Sheet1!$A$2:$E$1223,3,0)&amp;", "&amp;VLOOKUP(B58,[1]Sheet1!$A$2:$E$1223,5,0)</f>
        <v>#N/A</v>
      </c>
      <c r="D58" s="7" t="e">
        <f>VLOOKUP(C58,[1]Sheet1!$A$2:$E$1223,2,0)&amp;", "&amp;VLOOKUP(C58,[1]Sheet1!$A$2:$E$1223,3,0)&amp;", "&amp;VLOOKUP(C58,[1]Sheet1!$A$2:$E$1223,5,0)</f>
        <v>#N/A</v>
      </c>
      <c r="E58" t="s">
        <v>1</v>
      </c>
      <c r="F58" t="s">
        <v>2</v>
      </c>
      <c r="G58" t="s">
        <v>190</v>
      </c>
      <c r="H58">
        <v>43790</v>
      </c>
      <c r="I58" t="e">
        <f>VLOOKUP(C58,[1]Sheet1!$A$363:$E$1218,5,0)</f>
        <v>#N/A</v>
      </c>
      <c r="J58" s="2">
        <f>H58-(0*H58)</f>
        <v>43790</v>
      </c>
      <c r="K58" s="2" t="str">
        <f>VLOOKUP(B58,'[2]WM-FLM'!$B$2:$AO$65,40,0)</f>
        <v>B</v>
      </c>
      <c r="L58" t="s">
        <v>73</v>
      </c>
    </row>
    <row r="59" spans="1:12" x14ac:dyDescent="0.25">
      <c r="A59">
        <f t="shared" si="1"/>
        <v>58</v>
      </c>
      <c r="B59" s="1" t="s">
        <v>59</v>
      </c>
      <c r="C59" s="7" t="e">
        <f>VLOOKUP(B59,[1]Sheet1!$A$2:$E$1223,2,0)&amp;", "&amp;VLOOKUP(B59,[1]Sheet1!$A$2:$E$1223,3,0)&amp;", "&amp;VLOOKUP(B59,[1]Sheet1!$A$2:$E$1223,5,0)</f>
        <v>#N/A</v>
      </c>
      <c r="D59" s="7" t="e">
        <f>VLOOKUP(C59,[1]Sheet1!$A$2:$E$1223,2,0)&amp;", "&amp;VLOOKUP(C59,[1]Sheet1!$A$2:$E$1223,3,0)&amp;", "&amp;VLOOKUP(C59,[1]Sheet1!$A$2:$E$1223,5,0)</f>
        <v>#N/A</v>
      </c>
      <c r="E59" t="s">
        <v>1</v>
      </c>
      <c r="F59" t="s">
        <v>2</v>
      </c>
      <c r="G59" t="s">
        <v>191</v>
      </c>
      <c r="H59">
        <v>53090</v>
      </c>
      <c r="I59" t="e">
        <f>VLOOKUP(C59,[1]Sheet1!$A$363:$E$1218,5,0)</f>
        <v>#N/A</v>
      </c>
      <c r="J59" s="2">
        <f>H59-(0.12*H59)</f>
        <v>46719.199999999997</v>
      </c>
      <c r="K59" s="2" t="str">
        <f>VLOOKUP(B59,'[2]WM-FLM'!$B$2:$AO$65,40,0)</f>
        <v>A+</v>
      </c>
      <c r="L59" t="s">
        <v>73</v>
      </c>
    </row>
    <row r="60" spans="1:12" x14ac:dyDescent="0.25">
      <c r="A60">
        <f t="shared" si="1"/>
        <v>59</v>
      </c>
      <c r="B60" s="1" t="s">
        <v>60</v>
      </c>
      <c r="C60" s="6">
        <v>8903287026881</v>
      </c>
      <c r="D60" s="7" t="str">
        <f>VLOOKUP(C60,[1]Sheet1!$A$2:$E$1223,2,0)&amp;", "&amp;VLOOKUP(C60,[1]Sheet1!$A$2:$E$1223,3,0)&amp;", "&amp;VLOOKUP(C60,[1]Sheet1!$A$2:$E$1223,5,0)</f>
        <v>SENATOR SXN 8014, FLU, 45490</v>
      </c>
      <c r="E60" t="s">
        <v>1</v>
      </c>
      <c r="F60" t="s">
        <v>2</v>
      </c>
      <c r="G60" t="s">
        <v>192</v>
      </c>
      <c r="H60">
        <v>47090</v>
      </c>
      <c r="I60">
        <f>VLOOKUP(C60,[1]Sheet1!$A$363:$E$1218,5,0)</f>
        <v>45490</v>
      </c>
      <c r="J60" s="2">
        <f>H60-(0*H60)</f>
        <v>47090</v>
      </c>
      <c r="K60" s="2" t="str">
        <f>VLOOKUP(B60,'[2]WM-FLM'!$B$2:$AO$65,40,0)</f>
        <v>B</v>
      </c>
      <c r="L60" t="s">
        <v>73</v>
      </c>
    </row>
    <row r="61" spans="1:12" x14ac:dyDescent="0.25">
      <c r="A61">
        <f t="shared" si="1"/>
        <v>60</v>
      </c>
      <c r="B61" s="1" t="s">
        <v>61</v>
      </c>
      <c r="C61" s="7" t="e">
        <f>VLOOKUP(B61,[1]Sheet1!$A$2:$E$1223,2,0)&amp;", "&amp;VLOOKUP(B61,[1]Sheet1!$A$2:$E$1223,3,0)&amp;", "&amp;VLOOKUP(B61,[1]Sheet1!$A$2:$E$1223,5,0)</f>
        <v>#N/A</v>
      </c>
      <c r="D61" s="7" t="e">
        <f>VLOOKUP(C61,[1]Sheet1!$A$2:$E$1223,2,0)&amp;", "&amp;VLOOKUP(C61,[1]Sheet1!$A$2:$E$1223,3,0)&amp;", "&amp;VLOOKUP(C61,[1]Sheet1!$A$2:$E$1223,5,0)</f>
        <v>#N/A</v>
      </c>
      <c r="E61" t="s">
        <v>1</v>
      </c>
      <c r="F61" t="s">
        <v>2</v>
      </c>
      <c r="G61" t="s">
        <v>193</v>
      </c>
      <c r="H61">
        <v>52090</v>
      </c>
      <c r="I61" t="e">
        <f>VLOOKUP(C61,[1]Sheet1!$A$363:$E$1218,5,0)</f>
        <v>#N/A</v>
      </c>
      <c r="J61" s="2">
        <f>H61-(0.12*H61)</f>
        <v>45839.199999999997</v>
      </c>
      <c r="K61" s="2" t="str">
        <f>VLOOKUP(B61,'[2]WM-FLM'!$B$2:$AO$65,40,0)</f>
        <v>A+</v>
      </c>
      <c r="L61" t="s">
        <v>73</v>
      </c>
    </row>
    <row r="62" spans="1:12" x14ac:dyDescent="0.25">
      <c r="A62">
        <f t="shared" si="1"/>
        <v>61</v>
      </c>
      <c r="B62" s="1" t="s">
        <v>62</v>
      </c>
      <c r="C62" s="7" t="e">
        <f>VLOOKUP(B62,[1]Sheet1!$A$2:$E$1223,2,0)&amp;", "&amp;VLOOKUP(B62,[1]Sheet1!$A$2:$E$1223,3,0)&amp;", "&amp;VLOOKUP(B62,[1]Sheet1!$A$2:$E$1223,5,0)</f>
        <v>#N/A</v>
      </c>
      <c r="D62" s="7" t="e">
        <f>VLOOKUP(C62,[1]Sheet1!$A$2:$E$1223,2,0)&amp;", "&amp;VLOOKUP(C62,[1]Sheet1!$A$2:$E$1223,3,0)&amp;", "&amp;VLOOKUP(C62,[1]Sheet1!$A$2:$E$1223,5,0)</f>
        <v>#N/A</v>
      </c>
      <c r="E62" t="s">
        <v>1</v>
      </c>
      <c r="F62" t="s">
        <v>2</v>
      </c>
      <c r="G62" t="s">
        <v>194</v>
      </c>
      <c r="H62">
        <v>45990</v>
      </c>
      <c r="I62" t="e">
        <f>VLOOKUP(C62,[1]Sheet1!$A$363:$E$1218,5,0)</f>
        <v>#N/A</v>
      </c>
      <c r="J62" s="2">
        <f>H62-(0*H62)</f>
        <v>45990</v>
      </c>
      <c r="K62" s="2" t="str">
        <f>VLOOKUP(B62,'[2]WM-FLM'!$B$2:$AO$65,40,0)</f>
        <v>B</v>
      </c>
      <c r="L62" t="s">
        <v>73</v>
      </c>
    </row>
    <row r="63" spans="1:12" x14ac:dyDescent="0.25">
      <c r="A63">
        <f t="shared" si="1"/>
        <v>62</v>
      </c>
      <c r="B63" s="1" t="s">
        <v>63</v>
      </c>
      <c r="C63" s="7" t="e">
        <f>VLOOKUP(B63,[1]Sheet1!$A$2:$E$1223,2,0)&amp;", "&amp;VLOOKUP(B63,[1]Sheet1!$A$2:$E$1223,3,0)&amp;", "&amp;VLOOKUP(B63,[1]Sheet1!$A$2:$E$1223,5,0)</f>
        <v>#N/A</v>
      </c>
      <c r="D63" s="7" t="e">
        <f>VLOOKUP(C63,[1]Sheet1!$A$2:$E$1223,2,0)&amp;", "&amp;VLOOKUP(C63,[1]Sheet1!$A$2:$E$1223,3,0)&amp;", "&amp;VLOOKUP(C63,[1]Sheet1!$A$2:$E$1223,5,0)</f>
        <v>#N/A</v>
      </c>
      <c r="E63" t="s">
        <v>1</v>
      </c>
      <c r="F63" t="s">
        <v>2</v>
      </c>
      <c r="G63" t="s">
        <v>195</v>
      </c>
      <c r="H63">
        <v>50090</v>
      </c>
      <c r="I63" t="e">
        <f>VLOOKUP(C63,[1]Sheet1!$A$363:$E$1218,5,0)</f>
        <v>#N/A</v>
      </c>
      <c r="J63" s="2">
        <f>H63-(0.12*H63)</f>
        <v>44079.199999999997</v>
      </c>
      <c r="K63" s="2" t="str">
        <f>VLOOKUP(B63,'[2]WM-FLM'!$B$2:$AO$65,40,0)</f>
        <v>A</v>
      </c>
      <c r="L63" t="s">
        <v>73</v>
      </c>
    </row>
    <row r="64" spans="1:12" x14ac:dyDescent="0.25">
      <c r="A64">
        <f t="shared" si="1"/>
        <v>63</v>
      </c>
      <c r="B64" s="1" t="s">
        <v>64</v>
      </c>
      <c r="C64" s="7" t="e">
        <f>VLOOKUP(B64,[1]Sheet1!$A$2:$E$1223,2,0)&amp;", "&amp;VLOOKUP(B64,[1]Sheet1!$A$2:$E$1223,3,0)&amp;", "&amp;VLOOKUP(B64,[1]Sheet1!$A$2:$E$1223,5,0)</f>
        <v>#N/A</v>
      </c>
      <c r="D64" s="7" t="e">
        <f>VLOOKUP(C64,[1]Sheet1!$A$2:$E$1223,2,0)&amp;", "&amp;VLOOKUP(C64,[1]Sheet1!$A$2:$E$1223,3,0)&amp;", "&amp;VLOOKUP(C64,[1]Sheet1!$A$2:$E$1223,5,0)</f>
        <v>#N/A</v>
      </c>
      <c r="E64" t="s">
        <v>1</v>
      </c>
      <c r="F64" t="s">
        <v>2</v>
      </c>
      <c r="G64" t="s">
        <v>196</v>
      </c>
      <c r="H64">
        <v>46490</v>
      </c>
      <c r="I64" t="e">
        <f>VLOOKUP(C64,[1]Sheet1!$A$363:$E$1218,5,0)</f>
        <v>#N/A</v>
      </c>
      <c r="J64" s="2">
        <f>H64-(0.12*H64)</f>
        <v>40911.199999999997</v>
      </c>
      <c r="K64" s="2" t="str">
        <f>VLOOKUP(B64,'[2]WM-FLM'!$B$2:$AO$65,40,0)</f>
        <v>B</v>
      </c>
      <c r="L64" t="s">
        <v>73</v>
      </c>
    </row>
    <row r="65" spans="1:12" x14ac:dyDescent="0.25">
      <c r="A65">
        <f t="shared" si="1"/>
        <v>64</v>
      </c>
      <c r="B65" s="1" t="s">
        <v>65</v>
      </c>
      <c r="C65" s="7" t="e">
        <f>VLOOKUP(B65,[1]Sheet1!$A$2:$E$1223,2,0)&amp;", "&amp;VLOOKUP(B65,[1]Sheet1!$A$2:$E$1223,3,0)&amp;", "&amp;VLOOKUP(B65,[1]Sheet1!$A$2:$E$1223,5,0)</f>
        <v>#N/A</v>
      </c>
      <c r="D65" s="7" t="e">
        <f>VLOOKUP(C65,[1]Sheet1!$A$2:$E$1223,2,0)&amp;", "&amp;VLOOKUP(C65,[1]Sheet1!$A$2:$E$1223,3,0)&amp;", "&amp;VLOOKUP(C65,[1]Sheet1!$A$2:$E$1223,5,0)</f>
        <v>#N/A</v>
      </c>
      <c r="E65" t="s">
        <v>1</v>
      </c>
      <c r="F65" t="s">
        <v>2</v>
      </c>
      <c r="G65" t="s">
        <v>197</v>
      </c>
      <c r="H65">
        <v>49090</v>
      </c>
      <c r="I65" t="e">
        <f>VLOOKUP(C65,[1]Sheet1!$A$363:$E$1218,5,0)</f>
        <v>#N/A</v>
      </c>
      <c r="J65" s="2">
        <f>H65-(0*H65)</f>
        <v>49090</v>
      </c>
      <c r="K65" s="2" t="str">
        <f>VLOOKUP(B65,'[2]WM-FLM'!$B$2:$AO$65,40,0)</f>
        <v>A</v>
      </c>
      <c r="L65" t="s">
        <v>73</v>
      </c>
    </row>
    <row r="66" spans="1:12" x14ac:dyDescent="0.25">
      <c r="A66">
        <f t="shared" si="1"/>
        <v>65</v>
      </c>
      <c r="B66" s="1" t="s">
        <v>586</v>
      </c>
      <c r="C66" s="6">
        <v>8903287022425</v>
      </c>
      <c r="D66" s="7" t="str">
        <f>VLOOKUP(C66,[1]Sheet1!$A$2:$E$1223,2,0)&amp;", "&amp;VLOOKUP(C66,[1]Sheet1!$A$2:$E$1223,3,0)&amp;", "&amp;VLOOKUP(C66,[1]Sheet1!$A$2:$E$1223,5,0)</f>
        <v>TL-SIBS 10.0KG AQUA, TLM, 41990</v>
      </c>
      <c r="E66" t="s">
        <v>1</v>
      </c>
      <c r="F66" t="s">
        <v>567</v>
      </c>
      <c r="G66" t="s">
        <v>134</v>
      </c>
      <c r="H66">
        <v>41990</v>
      </c>
      <c r="I66">
        <f>VLOOKUP(C66,[1]Sheet1!$A$2:$E$20000,5,0)</f>
        <v>41990</v>
      </c>
      <c r="J66" s="2">
        <f t="shared" ref="J66:J104" si="4">H66-(0.12*H66)</f>
        <v>36951.199999999997</v>
      </c>
      <c r="K66" s="2" t="str">
        <f>VLOOKUP(B66,'[2]WM-TLM'!$B$2:$BA$100,41,0)</f>
        <v>A+</v>
      </c>
      <c r="L66" t="s">
        <v>73</v>
      </c>
    </row>
    <row r="67" spans="1:12" x14ac:dyDescent="0.25">
      <c r="A67">
        <f t="shared" ref="A67:A130" si="5">ROW(B66)</f>
        <v>66</v>
      </c>
      <c r="B67" s="1" t="s">
        <v>587</v>
      </c>
      <c r="C67" s="6">
        <v>8903287022418</v>
      </c>
      <c r="D67" s="7" t="str">
        <f>VLOOKUP(C67,[1]Sheet1!$A$2:$E$1223,2,0)&amp;", "&amp;VLOOKUP(C67,[1]Sheet1!$A$2:$E$1223,3,0)&amp;", "&amp;VLOOKUP(C67,[1]Sheet1!$A$2:$E$1223,5,0)</f>
        <v>TL-SLBS 9.0KG AQUA, TLM, 39990</v>
      </c>
      <c r="E67" t="s">
        <v>1</v>
      </c>
      <c r="F67" t="s">
        <v>567</v>
      </c>
      <c r="G67" t="s">
        <v>633</v>
      </c>
      <c r="H67">
        <v>39990</v>
      </c>
      <c r="I67">
        <f>VLOOKUP(C67,[1]Sheet1!$A$2:$E$20000,5,0)</f>
        <v>39990</v>
      </c>
      <c r="J67" s="2">
        <f t="shared" si="4"/>
        <v>35191.199999999997</v>
      </c>
      <c r="K67" s="2" t="str">
        <f>VLOOKUP(B67,'[2]WM-TLM'!$B$2:$BA$100,41,0)</f>
        <v>A+</v>
      </c>
      <c r="L67" t="s">
        <v>73</v>
      </c>
    </row>
    <row r="68" spans="1:12" x14ac:dyDescent="0.25">
      <c r="A68">
        <f t="shared" si="5"/>
        <v>67</v>
      </c>
      <c r="B68" s="1" t="s">
        <v>588</v>
      </c>
      <c r="C68" s="6">
        <v>8903287022395</v>
      </c>
      <c r="D68" s="7" t="str">
        <f>VLOOKUP(C68,[1]Sheet1!$A$2:$E$1223,2,0)&amp;", "&amp;VLOOKUP(C68,[1]Sheet1!$A$2:$E$1223,3,0)&amp;", "&amp;VLOOKUP(C68,[1]Sheet1!$A$2:$E$1223,5,0)</f>
        <v>TL-SPLS 8.0KG AQUA, TLM, 38950</v>
      </c>
      <c r="E68" t="s">
        <v>1</v>
      </c>
      <c r="F68" t="s">
        <v>567</v>
      </c>
      <c r="G68" t="s">
        <v>634</v>
      </c>
      <c r="H68">
        <v>38950</v>
      </c>
      <c r="I68">
        <f>VLOOKUP(C68,[1]Sheet1!$A$2:$E$20000,5,0)</f>
        <v>38950</v>
      </c>
      <c r="J68" s="2">
        <f t="shared" si="4"/>
        <v>34276</v>
      </c>
      <c r="K68" s="2" t="str">
        <f>VLOOKUP(B68,'[2]WM-TLM'!$B$2:$BA$100,41,0)</f>
        <v>A+</v>
      </c>
      <c r="L68" t="s">
        <v>73</v>
      </c>
    </row>
    <row r="69" spans="1:12" x14ac:dyDescent="0.25">
      <c r="A69">
        <f t="shared" si="5"/>
        <v>68</v>
      </c>
      <c r="B69" s="1" t="s">
        <v>589</v>
      </c>
      <c r="C69" s="6">
        <v>8903287022388</v>
      </c>
      <c r="D69" s="7" t="str">
        <f>VLOOKUP(C69,[1]Sheet1!$A$2:$E$1223,2,0)&amp;", "&amp;VLOOKUP(C69,[1]Sheet1!$A$2:$E$1223,3,0)&amp;", "&amp;VLOOKUP(C69,[1]Sheet1!$A$2:$E$1223,5,0)</f>
        <v>TL-SBRS 8.0KG AQUA, TLM, 38950</v>
      </c>
      <c r="E69" t="s">
        <v>1</v>
      </c>
      <c r="F69" t="s">
        <v>567</v>
      </c>
      <c r="G69" t="s">
        <v>635</v>
      </c>
      <c r="H69">
        <v>38950</v>
      </c>
      <c r="I69">
        <f>VLOOKUP(C69,[1]Sheet1!$A$2:$E$20000,5,0)</f>
        <v>38950</v>
      </c>
      <c r="J69" s="2">
        <f t="shared" si="4"/>
        <v>34276</v>
      </c>
      <c r="K69" s="2" t="str">
        <f>VLOOKUP(B69,'[2]WM-TLM'!$B$2:$BA$100,41,0)</f>
        <v>A+</v>
      </c>
      <c r="L69" t="s">
        <v>73</v>
      </c>
    </row>
    <row r="70" spans="1:12" x14ac:dyDescent="0.25">
      <c r="A70">
        <f t="shared" si="5"/>
        <v>69</v>
      </c>
      <c r="B70" s="1" t="s">
        <v>590</v>
      </c>
      <c r="C70" s="6">
        <v>8903287022364</v>
      </c>
      <c r="D70" s="7" t="str">
        <f>VLOOKUP(C70,[1]Sheet1!$A$2:$E$1223,2,0)&amp;", "&amp;VLOOKUP(C70,[1]Sheet1!$A$2:$E$1223,3,0)&amp;", "&amp;VLOOKUP(C70,[1]Sheet1!$A$2:$E$1223,5,0)</f>
        <v>TL-RPSS 7.0KG AQUA, TLM, 30550</v>
      </c>
      <c r="E70" t="s">
        <v>1</v>
      </c>
      <c r="F70" t="s">
        <v>567</v>
      </c>
      <c r="G70" t="s">
        <v>636</v>
      </c>
      <c r="H70">
        <v>30550</v>
      </c>
      <c r="I70">
        <f>VLOOKUP(C70,[1]Sheet1!$A$2:$E$20000,5,0)</f>
        <v>30550</v>
      </c>
      <c r="J70" s="2">
        <f t="shared" si="4"/>
        <v>26884</v>
      </c>
      <c r="K70" s="2" t="str">
        <f>VLOOKUP(B70,'[2]WM-TLM'!$B$2:$BA$100,41,0)</f>
        <v>B</v>
      </c>
      <c r="L70" t="s">
        <v>73</v>
      </c>
    </row>
    <row r="71" spans="1:12" x14ac:dyDescent="0.25">
      <c r="A71">
        <f t="shared" si="5"/>
        <v>70</v>
      </c>
      <c r="B71" s="1" t="s">
        <v>591</v>
      </c>
      <c r="C71" s="6">
        <v>8903287022357</v>
      </c>
      <c r="D71" s="7" t="str">
        <f>VLOOKUP(C71,[1]Sheet1!$A$2:$E$1223,2,0)&amp;", "&amp;VLOOKUP(C71,[1]Sheet1!$A$2:$E$1223,3,0)&amp;", "&amp;VLOOKUP(C71,[1]Sheet1!$A$2:$E$1223,5,0)</f>
        <v>TL-REGS 7.0KG AQUA, TLM, 29350</v>
      </c>
      <c r="E71" t="s">
        <v>1</v>
      </c>
      <c r="F71" t="s">
        <v>567</v>
      </c>
      <c r="G71" t="s">
        <v>637</v>
      </c>
      <c r="H71">
        <v>29350</v>
      </c>
      <c r="I71">
        <f>VLOOKUP(C71,[1]Sheet1!$A$2:$E$20000,5,0)</f>
        <v>29350</v>
      </c>
      <c r="J71" s="2">
        <f t="shared" si="4"/>
        <v>25828</v>
      </c>
      <c r="K71" s="2" t="str">
        <f>VLOOKUP(B71,'[2]WM-TLM'!$B$2:$BA$100,41,0)</f>
        <v>C</v>
      </c>
      <c r="L71" t="s">
        <v>73</v>
      </c>
    </row>
    <row r="72" spans="1:12" x14ac:dyDescent="0.25">
      <c r="A72">
        <f t="shared" si="5"/>
        <v>71</v>
      </c>
      <c r="B72" s="1" t="s">
        <v>592</v>
      </c>
      <c r="C72" s="6">
        <v>8903287022371</v>
      </c>
      <c r="D72" s="7" t="str">
        <f>VLOOKUP(C72,[1]Sheet1!$A$2:$E$1223,2,0)&amp;", "&amp;VLOOKUP(C72,[1]Sheet1!$A$2:$E$1223,3,0)&amp;", "&amp;VLOOKUP(C72,[1]Sheet1!$A$2:$E$1223,5,0)</f>
        <v>TL-SPGS 7.0KG AQUA, TLM, 34450</v>
      </c>
      <c r="E72" t="s">
        <v>1</v>
      </c>
      <c r="F72" t="s">
        <v>567</v>
      </c>
      <c r="G72" t="s">
        <v>638</v>
      </c>
      <c r="H72">
        <v>34450</v>
      </c>
      <c r="I72">
        <f>VLOOKUP(C72,[1]Sheet1!$A$2:$E$20000,5,0)</f>
        <v>34450</v>
      </c>
      <c r="J72" s="2">
        <f t="shared" si="4"/>
        <v>30316</v>
      </c>
      <c r="K72" s="2" t="str">
        <f>VLOOKUP(B72,'[2]WM-TLM'!$B$2:$BA$100,41,0)</f>
        <v>B</v>
      </c>
      <c r="L72" t="s">
        <v>73</v>
      </c>
    </row>
    <row r="73" spans="1:12" x14ac:dyDescent="0.25">
      <c r="A73">
        <f t="shared" si="5"/>
        <v>72</v>
      </c>
      <c r="B73" s="1" t="s">
        <v>593</v>
      </c>
      <c r="C73" s="6">
        <v>8903287022302</v>
      </c>
      <c r="D73" s="7" t="str">
        <f>VLOOKUP(C73,[1]Sheet1!$A$2:$E$1223,2,0)&amp;", "&amp;VLOOKUP(C73,[1]Sheet1!$A$2:$E$1223,3,0)&amp;", "&amp;VLOOKUP(C73,[1]Sheet1!$A$2:$E$1223,5,0)</f>
        <v>TL-RPSS 6.5KG AQUA, TLM, 28450</v>
      </c>
      <c r="E73" t="s">
        <v>1</v>
      </c>
      <c r="F73" t="s">
        <v>567</v>
      </c>
      <c r="G73" t="s">
        <v>639</v>
      </c>
      <c r="H73">
        <v>28450</v>
      </c>
      <c r="I73">
        <f>VLOOKUP(C73,[1]Sheet1!$A$2:$E$20000,5,0)</f>
        <v>28450</v>
      </c>
      <c r="J73" s="2">
        <f t="shared" si="4"/>
        <v>25036</v>
      </c>
      <c r="K73" s="2" t="str">
        <f>VLOOKUP(B73,'[2]WM-TLM'!$B$2:$BA$100,41,0)</f>
        <v>C</v>
      </c>
      <c r="L73" t="s">
        <v>73</v>
      </c>
    </row>
    <row r="74" spans="1:12" x14ac:dyDescent="0.25">
      <c r="A74">
        <f t="shared" si="5"/>
        <v>73</v>
      </c>
      <c r="B74" s="1" t="s">
        <v>594</v>
      </c>
      <c r="C74" s="6">
        <v>8903287021961</v>
      </c>
      <c r="D74" s="7" t="str">
        <f>VLOOKUP(C74,[1]Sheet1!$A$2:$E$1223,2,0)&amp;", "&amp;VLOOKUP(C74,[1]Sheet1!$A$2:$E$1223,3,0)&amp;", "&amp;VLOOKUP(C74,[1]Sheet1!$A$2:$E$1223,5,0)</f>
        <v>TL-RES 6.5KG AQUA, TLM, 25750</v>
      </c>
      <c r="E74" t="s">
        <v>1</v>
      </c>
      <c r="F74" t="s">
        <v>567</v>
      </c>
      <c r="G74" t="s">
        <v>640</v>
      </c>
      <c r="H74">
        <v>25750</v>
      </c>
      <c r="I74">
        <f>VLOOKUP(C74,[1]Sheet1!$A$2:$E$20000,5,0)</f>
        <v>25750</v>
      </c>
      <c r="J74" s="2">
        <f t="shared" si="4"/>
        <v>22660</v>
      </c>
      <c r="K74" s="2" t="str">
        <f>VLOOKUP(B74,'[2]WM-TLM'!$B$2:$BA$100,41,0)</f>
        <v>C</v>
      </c>
      <c r="L74" t="s">
        <v>73</v>
      </c>
    </row>
    <row r="75" spans="1:12" x14ac:dyDescent="0.25">
      <c r="A75">
        <f t="shared" si="5"/>
        <v>74</v>
      </c>
      <c r="B75" s="1" t="s">
        <v>595</v>
      </c>
      <c r="C75" s="6">
        <v>8903287027239</v>
      </c>
      <c r="D75" s="7" t="str">
        <f>VLOOKUP(C75,[1]Sheet1!$A$2:$E$1223,2,0)&amp;", "&amp;VLOOKUP(C75,[1]Sheet1!$A$2:$E$1223,3,0)&amp;", "&amp;VLOOKUP(C75,[1]Sheet1!$A$2:$E$1223,5,0)</f>
        <v>TL-R2WRS 6.5KG AQUA, TLM, 30490</v>
      </c>
      <c r="E75" t="s">
        <v>1</v>
      </c>
      <c r="F75" t="s">
        <v>567</v>
      </c>
      <c r="G75" t="s">
        <v>641</v>
      </c>
      <c r="H75">
        <v>30490</v>
      </c>
      <c r="I75">
        <f>VLOOKUP(C75,[1]Sheet1!$A$2:$E$20000,5,0)</f>
        <v>30490</v>
      </c>
      <c r="J75" s="2">
        <f t="shared" si="4"/>
        <v>26831.200000000001</v>
      </c>
      <c r="K75" s="2" t="str">
        <f>VLOOKUP(B75,'[2]WM-TLM'!$B$2:$BA$100,41,0)</f>
        <v>C</v>
      </c>
      <c r="L75" t="s">
        <v>73</v>
      </c>
    </row>
    <row r="76" spans="1:12" x14ac:dyDescent="0.25">
      <c r="A76">
        <f t="shared" si="5"/>
        <v>75</v>
      </c>
      <c r="B76" s="1" t="s">
        <v>596</v>
      </c>
      <c r="C76" s="6">
        <v>8903287027031</v>
      </c>
      <c r="D76" s="7" t="str">
        <f>VLOOKUP(C76,[1]Sheet1!$A$2:$E$1223,2,0)&amp;", "&amp;VLOOKUP(C76,[1]Sheet1!$A$2:$E$1223,3,0)&amp;", "&amp;VLOOKUP(C76,[1]Sheet1!$A$2:$E$1223,5,0)</f>
        <v>TL-R3SG 8.0KG AQUA, TLM, 34990</v>
      </c>
      <c r="E76" t="s">
        <v>1</v>
      </c>
      <c r="F76" t="s">
        <v>567</v>
      </c>
      <c r="G76" t="s">
        <v>642</v>
      </c>
      <c r="H76">
        <v>34990</v>
      </c>
      <c r="I76">
        <f>VLOOKUP(C76,[1]Sheet1!$A$2:$E$20000,5,0)</f>
        <v>34990</v>
      </c>
      <c r="J76" s="2">
        <f t="shared" si="4"/>
        <v>30791.200000000001</v>
      </c>
      <c r="K76" s="2" t="str">
        <f>VLOOKUP(B76,'[2]WM-TLM'!$B$2:$BA$100,41,0)</f>
        <v>B</v>
      </c>
      <c r="L76" t="s">
        <v>73</v>
      </c>
    </row>
    <row r="77" spans="1:12" x14ac:dyDescent="0.25">
      <c r="A77">
        <f t="shared" si="5"/>
        <v>76</v>
      </c>
      <c r="B77" s="1" t="s">
        <v>597</v>
      </c>
      <c r="C77" s="6">
        <v>8903287022104</v>
      </c>
      <c r="D77" s="7" t="str">
        <f>VLOOKUP(C77,[1]Sheet1!$A$2:$E$1223,2,0)&amp;", "&amp;VLOOKUP(C77,[1]Sheet1!$A$2:$E$1223,3,0)&amp;", "&amp;VLOOKUP(C77,[1]Sheet1!$A$2:$E$1223,5,0)</f>
        <v>TL-RES 7.0KG AQUA, TLM, 27290</v>
      </c>
      <c r="E77" t="s">
        <v>1</v>
      </c>
      <c r="F77" t="s">
        <v>567</v>
      </c>
      <c r="G77" t="s">
        <v>643</v>
      </c>
      <c r="H77">
        <v>27290</v>
      </c>
      <c r="I77">
        <f>VLOOKUP(C77,[1]Sheet1!$A$2:$E$20000,5,0)</f>
        <v>27290</v>
      </c>
      <c r="J77" s="2">
        <f t="shared" si="4"/>
        <v>24015.200000000001</v>
      </c>
      <c r="K77" s="2" t="str">
        <f>VLOOKUP(B77,'[2]WM-TLM'!$B$2:$BA$100,41,0)</f>
        <v>C</v>
      </c>
      <c r="L77" t="s">
        <v>73</v>
      </c>
    </row>
    <row r="78" spans="1:12" x14ac:dyDescent="0.25">
      <c r="A78">
        <f t="shared" si="5"/>
        <v>77</v>
      </c>
      <c r="B78" s="1" t="s">
        <v>598</v>
      </c>
      <c r="C78" s="6">
        <v>8903287021671</v>
      </c>
      <c r="D78" s="7" t="str">
        <f>VLOOKUP(C78,[1]Sheet1!$A$2:$E$1223,2,0)&amp;", "&amp;VLOOKUP(C78,[1]Sheet1!$A$2:$E$1223,3,0)&amp;", "&amp;VLOOKUP(C78,[1]Sheet1!$A$2:$E$1223,5,0)</f>
        <v>TL-RGS 7.0KG AQUA, TLM, 31850</v>
      </c>
      <c r="E78" t="s">
        <v>1</v>
      </c>
      <c r="F78" t="s">
        <v>567</v>
      </c>
      <c r="G78" t="s">
        <v>644</v>
      </c>
      <c r="H78">
        <v>31850</v>
      </c>
      <c r="I78">
        <f>VLOOKUP(C78,[1]Sheet1!$A$2:$E$20000,5,0)</f>
        <v>31850</v>
      </c>
      <c r="J78" s="2">
        <f t="shared" si="4"/>
        <v>28028</v>
      </c>
      <c r="K78" s="2" t="str">
        <f>VLOOKUP(B78,'[2]WM-TLM'!$B$2:$BA$100,41,0)</f>
        <v>B</v>
      </c>
      <c r="L78" t="s">
        <v>73</v>
      </c>
    </row>
    <row r="79" spans="1:12" x14ac:dyDescent="0.25">
      <c r="A79">
        <f t="shared" si="5"/>
        <v>78</v>
      </c>
      <c r="B79" s="1" t="s">
        <v>599</v>
      </c>
      <c r="C79" s="6">
        <v>8903287022210</v>
      </c>
      <c r="D79" s="7" t="str">
        <f>VLOOKUP(C79,[1]Sheet1!$A$2:$E$1223,2,0)&amp;", "&amp;VLOOKUP(C79,[1]Sheet1!$A$2:$E$1223,3,0)&amp;", "&amp;VLOOKUP(C79,[1]Sheet1!$A$2:$E$1223,5,0)</f>
        <v>TL-REG 7.0KG AQUA, TLM, 27790</v>
      </c>
      <c r="E79" t="s">
        <v>1</v>
      </c>
      <c r="F79" t="s">
        <v>567</v>
      </c>
      <c r="G79" t="s">
        <v>645</v>
      </c>
      <c r="H79">
        <v>27790</v>
      </c>
      <c r="I79">
        <f>VLOOKUP(C79,[1]Sheet1!$A$2:$E$20000,5,0)</f>
        <v>27790</v>
      </c>
      <c r="J79" s="2">
        <f t="shared" si="4"/>
        <v>24455.200000000001</v>
      </c>
      <c r="K79" s="2" t="str">
        <f>VLOOKUP(B79,'[2]WM-TLM'!$B$2:$BA$100,41,0)</f>
        <v>C</v>
      </c>
      <c r="L79" t="s">
        <v>73</v>
      </c>
    </row>
    <row r="80" spans="1:12" x14ac:dyDescent="0.25">
      <c r="A80">
        <f t="shared" si="5"/>
        <v>79</v>
      </c>
      <c r="B80" s="1" t="s">
        <v>600</v>
      </c>
      <c r="C80" s="6">
        <v>8903287021794</v>
      </c>
      <c r="D80" s="7" t="str">
        <f>VLOOKUP(C80,[1]Sheet1!$A$2:$E$1223,2,0)&amp;", "&amp;VLOOKUP(C80,[1]Sheet1!$A$2:$E$1223,3,0)&amp;", "&amp;VLOOKUP(C80,[1]Sheet1!$A$2:$E$1223,5,0)</f>
        <v>TL-REG 6.5KG AQUA, TLM, 25750</v>
      </c>
      <c r="E80" t="s">
        <v>1</v>
      </c>
      <c r="F80" t="s">
        <v>567</v>
      </c>
      <c r="G80" t="s">
        <v>646</v>
      </c>
      <c r="H80">
        <v>25750</v>
      </c>
      <c r="I80">
        <f>VLOOKUP(C80,[1]Sheet1!$A$2:$E$20000,5,0)</f>
        <v>25750</v>
      </c>
      <c r="J80" s="2">
        <f t="shared" si="4"/>
        <v>22660</v>
      </c>
      <c r="K80" s="2" t="str">
        <f>VLOOKUP(B80,'[2]WM-TLM'!$B$2:$BA$100,41,0)</f>
        <v>C</v>
      </c>
      <c r="L80" t="s">
        <v>73</v>
      </c>
    </row>
    <row r="81" spans="1:12" x14ac:dyDescent="0.25">
      <c r="A81">
        <f t="shared" si="5"/>
        <v>80</v>
      </c>
      <c r="B81" s="1" t="s">
        <v>601</v>
      </c>
      <c r="C81" s="6">
        <v>8903287027222</v>
      </c>
      <c r="D81" s="7" t="str">
        <f>VLOOKUP(C81,[1]Sheet1!$A$2:$E$1223,2,0)&amp;", "&amp;VLOOKUP(C81,[1]Sheet1!$A$2:$E$1223,3,0)&amp;", "&amp;VLOOKUP(C81,[1]Sheet1!$A$2:$E$1223,5,0)</f>
        <v>TL-R2BRS 6.5KG AQUA, TLM, 30990</v>
      </c>
      <c r="E81" t="s">
        <v>1</v>
      </c>
      <c r="F81" t="s">
        <v>567</v>
      </c>
      <c r="G81" t="s">
        <v>647</v>
      </c>
      <c r="H81">
        <v>30990</v>
      </c>
      <c r="I81">
        <f>VLOOKUP(C81,[1]Sheet1!$A$2:$E$20000,5,0)</f>
        <v>30990</v>
      </c>
      <c r="J81" s="2">
        <f t="shared" si="4"/>
        <v>27271.200000000001</v>
      </c>
      <c r="K81" s="2" t="str">
        <f>VLOOKUP(B81,'[2]WM-TLM'!$B$2:$BA$100,41,0)</f>
        <v>B</v>
      </c>
      <c r="L81" t="s">
        <v>73</v>
      </c>
    </row>
    <row r="82" spans="1:12" x14ac:dyDescent="0.25">
      <c r="A82">
        <f t="shared" si="5"/>
        <v>81</v>
      </c>
      <c r="B82" s="1" t="s">
        <v>602</v>
      </c>
      <c r="C82" s="6">
        <v>8903287022524</v>
      </c>
      <c r="D82" s="7" t="str">
        <f>VLOOKUP(C82,[1]Sheet1!$A$2:$E$1223,2,0)&amp;", "&amp;VLOOKUP(C82,[1]Sheet1!$A$2:$E$1223,3,0)&amp;", "&amp;VLOOKUP(C82,[1]Sheet1!$A$2:$E$1223,5,0)</f>
        <v>TL-S4BLS 10.0KG AQUA, TLM, 43490</v>
      </c>
      <c r="E82" t="s">
        <v>1</v>
      </c>
      <c r="F82" t="s">
        <v>567</v>
      </c>
      <c r="G82" t="s">
        <v>648</v>
      </c>
      <c r="H82">
        <v>43490</v>
      </c>
      <c r="I82">
        <f>VLOOKUP(C82,[1]Sheet1!$A$2:$E$20000,5,0)</f>
        <v>43490</v>
      </c>
      <c r="J82" s="2">
        <f t="shared" si="4"/>
        <v>38271.199999999997</v>
      </c>
      <c r="K82" s="2" t="str">
        <f>VLOOKUP(B82,'[2]WM-TLM'!$B$2:$BA$100,41,0)</f>
        <v>A++</v>
      </c>
      <c r="L82" t="s">
        <v>73</v>
      </c>
    </row>
    <row r="83" spans="1:12" x14ac:dyDescent="0.25">
      <c r="A83">
        <f t="shared" si="5"/>
        <v>82</v>
      </c>
      <c r="B83" s="1" t="s">
        <v>603</v>
      </c>
      <c r="C83" s="6">
        <v>8903287027154</v>
      </c>
      <c r="D83" s="7" t="str">
        <f>VLOOKUP(C83,[1]Sheet1!$A$2:$E$1223,2,0)&amp;", "&amp;VLOOKUP(C83,[1]Sheet1!$A$2:$E$1223,3,0)&amp;", "&amp;VLOOKUP(C83,[1]Sheet1!$A$2:$E$1223,5,0)</f>
        <v>TL-R1BRS 7.0KG AQUA, TLM, 29990</v>
      </c>
      <c r="E83" t="s">
        <v>1</v>
      </c>
      <c r="F83" t="s">
        <v>567</v>
      </c>
      <c r="G83" t="s">
        <v>649</v>
      </c>
      <c r="H83">
        <v>29990</v>
      </c>
      <c r="I83">
        <f>VLOOKUP(C83,[1]Sheet1!$A$2:$E$20000,5,0)</f>
        <v>29990</v>
      </c>
      <c r="J83" s="2">
        <f t="shared" si="4"/>
        <v>26391.200000000001</v>
      </c>
      <c r="K83" s="2" t="str">
        <f>VLOOKUP(B83,'[2]WM-TLM'!$B$2:$BA$100,41,0)</f>
        <v>C</v>
      </c>
      <c r="L83" t="s">
        <v>73</v>
      </c>
    </row>
    <row r="84" spans="1:12" x14ac:dyDescent="0.25">
      <c r="A84">
        <f t="shared" si="5"/>
        <v>83</v>
      </c>
      <c r="B84" s="1" t="s">
        <v>604</v>
      </c>
      <c r="C84" s="6">
        <v>8903287027338</v>
      </c>
      <c r="D84" s="7" t="str">
        <f>VLOOKUP(C84,[1]Sheet1!$A$2:$E$1223,2,0)&amp;", "&amp;VLOOKUP(C84,[1]Sheet1!$A$2:$E$1223,3,0)&amp;", "&amp;VLOOKUP(C84,[1]Sheet1!$A$2:$E$1223,5,0)</f>
        <v>TL-R2BR 7.0KG AQUA, TLM, 28550</v>
      </c>
      <c r="E84" t="s">
        <v>1</v>
      </c>
      <c r="F84" t="s">
        <v>567</v>
      </c>
      <c r="G84" t="s">
        <v>650</v>
      </c>
      <c r="H84">
        <v>28550</v>
      </c>
      <c r="I84">
        <f>VLOOKUP(C84,[1]Sheet1!$A$2:$E$20000,5,0)</f>
        <v>28550</v>
      </c>
      <c r="J84" s="2">
        <f t="shared" si="4"/>
        <v>25124</v>
      </c>
      <c r="K84" s="2" t="str">
        <f>VLOOKUP(B84,'[2]WM-TLM'!$B$2:$BA$100,41,0)</f>
        <v>C</v>
      </c>
      <c r="L84" t="s">
        <v>73</v>
      </c>
    </row>
    <row r="85" spans="1:12" x14ac:dyDescent="0.25">
      <c r="A85">
        <f t="shared" si="5"/>
        <v>84</v>
      </c>
      <c r="B85" s="1" t="s">
        <v>605</v>
      </c>
      <c r="C85" s="6">
        <v>8903287022449</v>
      </c>
      <c r="D85" s="7" t="str">
        <f>VLOOKUP(C85,[1]Sheet1!$A$2:$E$1223,2,0)&amp;", "&amp;VLOOKUP(C85,[1]Sheet1!$A$2:$E$1223,3,0)&amp;", "&amp;VLOOKUP(C85,[1]Sheet1!$A$2:$E$1223,5,0)</f>
        <v>TL-S4RBS 9.0KG AQUA, TLM, 40990</v>
      </c>
      <c r="E85" t="s">
        <v>1</v>
      </c>
      <c r="F85" t="s">
        <v>567</v>
      </c>
      <c r="G85" t="s">
        <v>651</v>
      </c>
      <c r="H85">
        <v>40990</v>
      </c>
      <c r="I85">
        <f>VLOOKUP(C85,[1]Sheet1!$A$2:$E$20000,5,0)</f>
        <v>40990</v>
      </c>
      <c r="J85" s="2">
        <f t="shared" si="4"/>
        <v>36071.199999999997</v>
      </c>
      <c r="K85" s="2" t="str">
        <f>VLOOKUP(B85,'[2]WM-TLM'!$B$2:$BA$100,41,0)</f>
        <v>A+</v>
      </c>
      <c r="L85" t="s">
        <v>73</v>
      </c>
    </row>
    <row r="86" spans="1:12" x14ac:dyDescent="0.25">
      <c r="A86">
        <f t="shared" si="5"/>
        <v>85</v>
      </c>
      <c r="B86" s="1" t="s">
        <v>606</v>
      </c>
      <c r="C86" s="6">
        <v>8903287027284</v>
      </c>
      <c r="D86" s="7" t="str">
        <f>VLOOKUP(C86,[1]Sheet1!$A$2:$E$1223,2,0)&amp;", "&amp;VLOOKUP(C86,[1]Sheet1!$A$2:$E$1223,3,0)&amp;", "&amp;VLOOKUP(C86,[1]Sheet1!$A$2:$E$1223,5,0)</f>
        <v>TL-S1WRS 8.0KG AQUA, TLM, 37450</v>
      </c>
      <c r="E86" t="s">
        <v>1</v>
      </c>
      <c r="F86" t="s">
        <v>567</v>
      </c>
      <c r="G86" t="s">
        <v>652</v>
      </c>
      <c r="H86">
        <v>37450</v>
      </c>
      <c r="I86">
        <f>VLOOKUP(C86,[1]Sheet1!$A$2:$E$20000,5,0)</f>
        <v>37450</v>
      </c>
      <c r="J86" s="2">
        <f t="shared" si="4"/>
        <v>32956</v>
      </c>
      <c r="K86" s="2" t="str">
        <f>VLOOKUP(B86,'[2]WM-TLM'!$B$2:$BA$100,41,0)</f>
        <v>A</v>
      </c>
      <c r="L86" t="s">
        <v>73</v>
      </c>
    </row>
    <row r="87" spans="1:12" x14ac:dyDescent="0.25">
      <c r="A87">
        <f t="shared" si="5"/>
        <v>86</v>
      </c>
      <c r="B87" s="1" t="s">
        <v>607</v>
      </c>
      <c r="C87" s="6">
        <v>8903287021763</v>
      </c>
      <c r="D87" s="7" t="str">
        <f>VLOOKUP(C87,[1]Sheet1!$A$2:$E$1223,2,0)&amp;", "&amp;VLOOKUP(C87,[1]Sheet1!$A$2:$E$1223,3,0)&amp;", "&amp;VLOOKUP(C87,[1]Sheet1!$A$2:$E$1223,5,0)</f>
        <v>TL-RSS 6.5KG AQUA, TLM, 26550</v>
      </c>
      <c r="E87" t="s">
        <v>1</v>
      </c>
      <c r="F87" t="s">
        <v>567</v>
      </c>
      <c r="G87" t="s">
        <v>653</v>
      </c>
      <c r="H87">
        <v>26550</v>
      </c>
      <c r="I87">
        <f>VLOOKUP(C87,[1]Sheet1!$A$2:$E$20000,5,0)</f>
        <v>26550</v>
      </c>
      <c r="J87" s="2">
        <f t="shared" si="4"/>
        <v>23364</v>
      </c>
      <c r="K87" s="2" t="str">
        <f>VLOOKUP(B87,'[2]WM-TLM'!$B$2:$BA$100,41,0)</f>
        <v>C</v>
      </c>
      <c r="L87" t="s">
        <v>73</v>
      </c>
    </row>
    <row r="88" spans="1:12" x14ac:dyDescent="0.25">
      <c r="A88">
        <f t="shared" si="5"/>
        <v>87</v>
      </c>
      <c r="B88" s="1" t="s">
        <v>608</v>
      </c>
      <c r="C88" s="6">
        <v>8903287022647</v>
      </c>
      <c r="D88" s="7" t="str">
        <f>VLOOKUP(C88,[1]Sheet1!$A$2:$E$1223,2,0)&amp;", "&amp;VLOOKUP(C88,[1]Sheet1!$A$2:$E$1223,3,0)&amp;", "&amp;VLOOKUP(C88,[1]Sheet1!$A$2:$E$1223,5,0)</f>
        <v>TL-R1WRS 7.0KG AQUA, TLM, 30990</v>
      </c>
      <c r="E88" t="s">
        <v>1</v>
      </c>
      <c r="F88" t="s">
        <v>567</v>
      </c>
      <c r="G88" t="s">
        <v>654</v>
      </c>
      <c r="H88">
        <v>30990</v>
      </c>
      <c r="I88">
        <f>VLOOKUP(C88,[1]Sheet1!$A$2:$E$20000,5,0)</f>
        <v>30990</v>
      </c>
      <c r="J88" s="2">
        <f t="shared" si="4"/>
        <v>27271.200000000001</v>
      </c>
      <c r="K88" s="2" t="str">
        <f>VLOOKUP(B88,'[2]WM-TLM'!$B$2:$BA$100,41,0)</f>
        <v>B</v>
      </c>
      <c r="L88" t="s">
        <v>73</v>
      </c>
    </row>
    <row r="89" spans="1:12" x14ac:dyDescent="0.25">
      <c r="A89">
        <f t="shared" si="5"/>
        <v>88</v>
      </c>
      <c r="B89" s="1" t="s">
        <v>609</v>
      </c>
      <c r="C89" s="6">
        <v>8903287022487</v>
      </c>
      <c r="D89" s="7" t="str">
        <f>VLOOKUP(C89,[1]Sheet1!$A$2:$E$1223,2,0)&amp;", "&amp;VLOOKUP(C89,[1]Sheet1!$A$2:$E$1223,3,0)&amp;", "&amp;VLOOKUP(C89,[1]Sheet1!$A$2:$E$1223,5,0)</f>
        <v>TL-S4STS 9.0KG AQUA, TLM, 42490</v>
      </c>
      <c r="E89" t="s">
        <v>1</v>
      </c>
      <c r="F89" t="s">
        <v>567</v>
      </c>
      <c r="G89" t="s">
        <v>655</v>
      </c>
      <c r="H89">
        <v>42490</v>
      </c>
      <c r="I89">
        <f>VLOOKUP(C89,[1]Sheet1!$A$2:$E$20000,5,0)</f>
        <v>42490</v>
      </c>
      <c r="J89" s="2">
        <f t="shared" si="4"/>
        <v>37391.199999999997</v>
      </c>
      <c r="K89" s="2" t="str">
        <f>VLOOKUP(B89,'[2]WM-TLM'!$B$2:$BA$100,41,0)</f>
        <v>A++</v>
      </c>
      <c r="L89" t="s">
        <v>73</v>
      </c>
    </row>
    <row r="90" spans="1:12" x14ac:dyDescent="0.25">
      <c r="A90">
        <f t="shared" si="5"/>
        <v>89</v>
      </c>
      <c r="B90" s="1" t="s">
        <v>610</v>
      </c>
      <c r="C90" s="6">
        <v>8903287022319</v>
      </c>
      <c r="D90" s="7" t="str">
        <f>VLOOKUP(C90,[1]Sheet1!$A$2:$E$1223,2,0)&amp;", "&amp;VLOOKUP(C90,[1]Sheet1!$A$2:$E$1223,3,0)&amp;", "&amp;VLOOKUP(C90,[1]Sheet1!$A$2:$E$1223,5,0)</f>
        <v>TL-REWS 6.5KG AQUA, TLM, 27250</v>
      </c>
      <c r="E90" t="s">
        <v>1</v>
      </c>
      <c r="F90" t="s">
        <v>567</v>
      </c>
      <c r="G90" t="s">
        <v>656</v>
      </c>
      <c r="H90">
        <v>27250</v>
      </c>
      <c r="I90">
        <f>VLOOKUP(C90,[1]Sheet1!$A$2:$E$20000,5,0)</f>
        <v>27250</v>
      </c>
      <c r="J90" s="2">
        <f t="shared" si="4"/>
        <v>23980</v>
      </c>
      <c r="K90" s="2" t="str">
        <f>VLOOKUP(B90,'[2]WM-TLM'!$B$2:$BA$100,41,0)</f>
        <v>C</v>
      </c>
      <c r="L90" t="s">
        <v>73</v>
      </c>
    </row>
    <row r="91" spans="1:12" x14ac:dyDescent="0.25">
      <c r="A91">
        <f t="shared" si="5"/>
        <v>90</v>
      </c>
      <c r="B91" s="1" t="s">
        <v>611</v>
      </c>
      <c r="C91" s="6">
        <v>8903287021336</v>
      </c>
      <c r="D91" s="7" t="str">
        <f>VLOOKUP(C91,[1]Sheet1!$A$2:$E$1223,2,0)&amp;", "&amp;VLOOKUP(C91,[1]Sheet1!$A$2:$E$1223,3,0)&amp;", "&amp;VLOOKUP(C91,[1]Sheet1!$A$2:$E$1223,5,0)</f>
        <v>TL-REW 6.5KG AQUA, TLM, 24690</v>
      </c>
      <c r="E91" t="s">
        <v>1</v>
      </c>
      <c r="F91" t="s">
        <v>567</v>
      </c>
      <c r="G91" t="s">
        <v>657</v>
      </c>
      <c r="H91">
        <v>24690</v>
      </c>
      <c r="I91">
        <f>VLOOKUP(C91,[1]Sheet1!$A$2:$E$20000,5,0)</f>
        <v>24690</v>
      </c>
      <c r="J91" s="2">
        <f t="shared" si="4"/>
        <v>21727.200000000001</v>
      </c>
      <c r="K91" s="2" t="str">
        <f>VLOOKUP(B91,'[2]WM-TLM'!$B$2:$BA$100,41,0)</f>
        <v>C</v>
      </c>
      <c r="L91" t="s">
        <v>73</v>
      </c>
    </row>
    <row r="92" spans="1:12" x14ac:dyDescent="0.25">
      <c r="A92">
        <f t="shared" si="5"/>
        <v>91</v>
      </c>
      <c r="B92" s="1" t="s">
        <v>612</v>
      </c>
      <c r="C92" s="6">
        <v>8903287021565</v>
      </c>
      <c r="D92" s="7" t="str">
        <f>VLOOKUP(C92,[1]Sheet1!$A$2:$E$1223,2,0)&amp;", "&amp;VLOOKUP(C92,[1]Sheet1!$A$2:$E$1223,3,0)&amp;", "&amp;VLOOKUP(C92,[1]Sheet1!$A$2:$E$1223,5,0)</f>
        <v>TL-SBRH 8.0KG AQUA, TLM, 32490</v>
      </c>
      <c r="E92" t="s">
        <v>1</v>
      </c>
      <c r="F92" t="s">
        <v>567</v>
      </c>
      <c r="G92" t="s">
        <v>658</v>
      </c>
      <c r="H92">
        <v>32490</v>
      </c>
      <c r="I92">
        <f>VLOOKUP(C92,[1]Sheet1!$A$2:$E$20000,5,0)</f>
        <v>32490</v>
      </c>
      <c r="J92" s="2">
        <f>H92-(0.04*H92)</f>
        <v>31190.400000000001</v>
      </c>
      <c r="K92" s="2" t="str">
        <f>VLOOKUP(B92,'[2]WM-TLM'!$B$2:$BA$100,41,0)</f>
        <v>B</v>
      </c>
      <c r="L92" t="s">
        <v>73</v>
      </c>
    </row>
    <row r="93" spans="1:12" x14ac:dyDescent="0.25">
      <c r="A93">
        <f t="shared" si="5"/>
        <v>92</v>
      </c>
      <c r="B93" s="1" t="s">
        <v>613</v>
      </c>
      <c r="C93" s="6">
        <v>8903287021787</v>
      </c>
      <c r="D93" s="7" t="str">
        <f>VLOOKUP(C93,[1]Sheet1!$A$2:$E$1223,2,0)&amp;", "&amp;VLOOKUP(C93,[1]Sheet1!$A$2:$E$1223,3,0)&amp;", "&amp;VLOOKUP(C93,[1]Sheet1!$A$2:$E$1223,5,0)</f>
        <v>TL-REGS 6.5KG AQUA, TLM, 24050</v>
      </c>
      <c r="E93" t="s">
        <v>1</v>
      </c>
      <c r="F93" t="s">
        <v>567</v>
      </c>
      <c r="G93" t="s">
        <v>659</v>
      </c>
      <c r="H93">
        <v>24050</v>
      </c>
      <c r="I93">
        <f>VLOOKUP(C93,[1]Sheet1!$A$2:$E$20000,5,0)</f>
        <v>24050</v>
      </c>
      <c r="J93" s="2">
        <f>H93-(0.04*H93)</f>
        <v>23088</v>
      </c>
      <c r="K93" s="2" t="str">
        <f>VLOOKUP(B93,'[2]WM-TLM'!$B$2:$BA$100,41,0)</f>
        <v>C</v>
      </c>
      <c r="L93" t="s">
        <v>73</v>
      </c>
    </row>
    <row r="94" spans="1:12" x14ac:dyDescent="0.25">
      <c r="A94">
        <f t="shared" si="5"/>
        <v>93</v>
      </c>
      <c r="B94" s="1" t="s">
        <v>614</v>
      </c>
      <c r="C94" s="6">
        <v>8903287021947</v>
      </c>
      <c r="D94" s="7" t="str">
        <f>VLOOKUP(C94,[1]Sheet1!$A$2:$E$1223,2,0)&amp;", "&amp;VLOOKUP(C94,[1]Sheet1!$A$2:$E$1223,3,0)&amp;", "&amp;VLOOKUP(C94,[1]Sheet1!$A$2:$E$1223,5,0)</f>
        <v>TL-RBR 6.5 KG AQUA, TLM, 25890</v>
      </c>
      <c r="E94" t="s">
        <v>1</v>
      </c>
      <c r="F94" t="s">
        <v>567</v>
      </c>
      <c r="G94" t="s">
        <v>660</v>
      </c>
      <c r="H94">
        <v>25890</v>
      </c>
      <c r="I94">
        <f>VLOOKUP(C94,[1]Sheet1!$A$2:$E$20000,5,0)</f>
        <v>25890</v>
      </c>
      <c r="J94" s="2">
        <f>H94-(0.04*H94)</f>
        <v>24854.400000000001</v>
      </c>
      <c r="K94" s="2" t="str">
        <f>VLOOKUP(B94,'[2]WM-TLM'!$B$2:$BA$100,41,0)</f>
        <v>C</v>
      </c>
      <c r="L94" t="s">
        <v>73</v>
      </c>
    </row>
    <row r="95" spans="1:12" x14ac:dyDescent="0.25">
      <c r="A95">
        <f t="shared" si="5"/>
        <v>94</v>
      </c>
      <c r="B95" s="1" t="s">
        <v>615</v>
      </c>
      <c r="C95" s="6">
        <v>8903287022494</v>
      </c>
      <c r="D95" s="7" t="str">
        <f>VLOOKUP(C95,[1]Sheet1!$A$2:$E$1223,2,0)&amp;", "&amp;VLOOKUP(C95,[1]Sheet1!$A$2:$E$1223,3,0)&amp;", "&amp;VLOOKUP(C95,[1]Sheet1!$A$2:$E$1223,5,0)</f>
        <v>TL-S4RBS 10.0KG AQUA, TLM, 41490</v>
      </c>
      <c r="E95" t="s">
        <v>1</v>
      </c>
      <c r="F95" t="s">
        <v>567</v>
      </c>
      <c r="G95" t="s">
        <v>661</v>
      </c>
      <c r="H95">
        <v>41490</v>
      </c>
      <c r="I95">
        <f>VLOOKUP(C95,[1]Sheet1!$A$2:$E$20000,5,0)</f>
        <v>41490</v>
      </c>
      <c r="J95" s="2">
        <f t="shared" si="4"/>
        <v>36511.199999999997</v>
      </c>
      <c r="K95" s="2" t="str">
        <f>VLOOKUP(B95,'[2]WM-TLM'!$B$2:$BA$100,41,0)</f>
        <v>A+</v>
      </c>
      <c r="L95" t="s">
        <v>73</v>
      </c>
    </row>
    <row r="96" spans="1:12" x14ac:dyDescent="0.25">
      <c r="A96">
        <f t="shared" si="5"/>
        <v>95</v>
      </c>
      <c r="B96" s="1" t="s">
        <v>616</v>
      </c>
      <c r="C96" s="6">
        <v>8903287027079</v>
      </c>
      <c r="D96" s="7" t="str">
        <f>VLOOKUP(C96,[1]Sheet1!$A$2:$E$1223,2,0)&amp;", "&amp;VLOOKUP(C96,[1]Sheet1!$A$2:$E$1223,3,0)&amp;", "&amp;VLOOKUP(C96,[1]Sheet1!$A$2:$E$1223,5,0)</f>
        <v>TL-R1WH 7.0KG AQUA, TLM, 26690</v>
      </c>
      <c r="E96" t="s">
        <v>1</v>
      </c>
      <c r="F96" t="s">
        <v>567</v>
      </c>
      <c r="G96" t="s">
        <v>662</v>
      </c>
      <c r="H96">
        <v>26690</v>
      </c>
      <c r="I96">
        <f>VLOOKUP(C96,[1]Sheet1!$A$2:$E$20000,5,0)</f>
        <v>26690</v>
      </c>
      <c r="J96" s="2">
        <f t="shared" si="4"/>
        <v>23487.200000000001</v>
      </c>
      <c r="K96" s="2" t="str">
        <f>VLOOKUP(B96,'[2]WM-TLM'!$B$2:$BA$100,41,0)</f>
        <v>C</v>
      </c>
      <c r="L96" t="s">
        <v>73</v>
      </c>
    </row>
    <row r="97" spans="1:12" x14ac:dyDescent="0.25">
      <c r="A97">
        <f t="shared" si="5"/>
        <v>96</v>
      </c>
      <c r="B97" s="1" t="s">
        <v>617</v>
      </c>
      <c r="C97" s="6">
        <v>8903287021817</v>
      </c>
      <c r="D97" s="7" t="str">
        <f>VLOOKUP(C97,[1]Sheet1!$A$2:$E$1223,2,0)&amp;", "&amp;VLOOKUP(C97,[1]Sheet1!$A$2:$E$1223,3,0)&amp;", "&amp;VLOOKUP(C97,[1]Sheet1!$A$2:$E$1223,5,0)</f>
        <v>TL-SDS 7.0KG AQUA, TLM, 32950</v>
      </c>
      <c r="E97" t="s">
        <v>1</v>
      </c>
      <c r="F97" t="s">
        <v>567</v>
      </c>
      <c r="G97" t="s">
        <v>663</v>
      </c>
      <c r="H97">
        <v>27950</v>
      </c>
      <c r="I97">
        <f>VLOOKUP(C97,[1]Sheet1!$A$2:$E$20000,5,0)</f>
        <v>32950</v>
      </c>
      <c r="J97" s="2">
        <f>H97-(0.04*H97)</f>
        <v>26832</v>
      </c>
      <c r="K97" s="2" t="str">
        <f>VLOOKUP(B97,'[2]WM-TLM'!$B$2:$BA$100,41,0)</f>
        <v>C</v>
      </c>
      <c r="L97" t="s">
        <v>73</v>
      </c>
    </row>
    <row r="98" spans="1:12" x14ac:dyDescent="0.25">
      <c r="A98">
        <f t="shared" si="5"/>
        <v>97</v>
      </c>
      <c r="B98" s="1" t="s">
        <v>618</v>
      </c>
      <c r="C98" s="6">
        <v>8903287022432</v>
      </c>
      <c r="D98" s="7" t="str">
        <f>VLOOKUP(C98,[1]Sheet1!$A$2:$E$1223,2,0)&amp;", "&amp;VLOOKUP(C98,[1]Sheet1!$A$2:$E$1223,3,0)&amp;", "&amp;VLOOKUP(C98,[1]Sheet1!$A$2:$E$1223,5,0)</f>
        <v>TL-SIBS 11.0KG AQUA, TLM, 44990</v>
      </c>
      <c r="E98" t="s">
        <v>1</v>
      </c>
      <c r="F98" t="s">
        <v>567</v>
      </c>
      <c r="G98" t="s">
        <v>664</v>
      </c>
      <c r="H98">
        <v>44990</v>
      </c>
      <c r="I98">
        <f>VLOOKUP(C98,[1]Sheet1!$A$2:$E$20000,5,0)</f>
        <v>44990</v>
      </c>
      <c r="J98" s="2">
        <f t="shared" si="4"/>
        <v>39591.199999999997</v>
      </c>
      <c r="K98" s="2" t="str">
        <f>VLOOKUP(B98,'[2]WM-TLM'!$B$2:$BA$100,41,0)</f>
        <v>A++</v>
      </c>
      <c r="L98" t="s">
        <v>73</v>
      </c>
    </row>
    <row r="99" spans="1:12" x14ac:dyDescent="0.25">
      <c r="A99">
        <f t="shared" si="5"/>
        <v>98</v>
      </c>
      <c r="B99" s="1" t="s">
        <v>619</v>
      </c>
      <c r="C99" s="6">
        <v>8903287021886</v>
      </c>
      <c r="D99" s="7" t="str">
        <f>VLOOKUP(C99,[1]Sheet1!$A$2:$E$1223,2,0)&amp;", "&amp;VLOOKUP(C99,[1]Sheet1!$A$2:$E$1223,3,0)&amp;", "&amp;VLOOKUP(C99,[1]Sheet1!$A$2:$E$1223,5,0)</f>
        <v>TL-SDG 6.5KG AQUA, TLM, 26650</v>
      </c>
      <c r="E99" t="s">
        <v>1</v>
      </c>
      <c r="F99" t="s">
        <v>567</v>
      </c>
      <c r="G99" t="s">
        <v>665</v>
      </c>
      <c r="H99">
        <v>26650</v>
      </c>
      <c r="I99">
        <f>VLOOKUP(C99,[1]Sheet1!$A$2:$E$20000,5,0)</f>
        <v>26650</v>
      </c>
      <c r="J99" s="2">
        <f>H99-(0.04*H99)</f>
        <v>25584</v>
      </c>
      <c r="K99" s="2" t="str">
        <f>VLOOKUP(B99,'[2]WM-TLM'!$B$2:$BA$100,41,0)</f>
        <v>C</v>
      </c>
      <c r="L99" t="s">
        <v>73</v>
      </c>
    </row>
    <row r="100" spans="1:12" x14ac:dyDescent="0.25">
      <c r="A100">
        <f t="shared" si="5"/>
        <v>99</v>
      </c>
      <c r="B100" s="1" t="s">
        <v>620</v>
      </c>
      <c r="C100" s="6">
        <v>8903287022401</v>
      </c>
      <c r="D100" s="7" t="str">
        <f>VLOOKUP(C100,[1]Sheet1!$A$2:$E$1223,2,0)&amp;", "&amp;VLOOKUP(C100,[1]Sheet1!$A$2:$E$1223,3,0)&amp;", "&amp;VLOOKUP(C100,[1]Sheet1!$A$2:$E$1223,5,0)</f>
        <v>TL-SDSS 8.0KG AQUA, TLM, 31450</v>
      </c>
      <c r="E100" t="s">
        <v>1</v>
      </c>
      <c r="F100" t="s">
        <v>567</v>
      </c>
      <c r="G100" t="s">
        <v>666</v>
      </c>
      <c r="H100">
        <v>31450</v>
      </c>
      <c r="I100">
        <f>VLOOKUP(C100,[1]Sheet1!$A$2:$E$20000,5,0)</f>
        <v>31450</v>
      </c>
      <c r="J100" s="2">
        <f>H100-(0.04*H100)</f>
        <v>30192</v>
      </c>
      <c r="K100" s="2" t="str">
        <f>VLOOKUP(B100,'[2]WM-TLM'!$B$2:$BA$100,41,0)</f>
        <v>B</v>
      </c>
      <c r="L100" t="s">
        <v>73</v>
      </c>
    </row>
    <row r="101" spans="1:12" x14ac:dyDescent="0.25">
      <c r="A101">
        <f t="shared" si="5"/>
        <v>100</v>
      </c>
      <c r="B101" s="1" t="s">
        <v>621</v>
      </c>
      <c r="C101" s="6">
        <v>8903287022937</v>
      </c>
      <c r="D101" s="7" t="str">
        <f>VLOOKUP(C101,[1]Sheet1!$A$2:$E$1223,2,0)&amp;", "&amp;VLOOKUP(C101,[1]Sheet1!$A$2:$E$1223,3,0)&amp;", "&amp;VLOOKUP(C101,[1]Sheet1!$A$2:$E$1223,5,0)</f>
        <v>TL-S4INS 12.0KG AQUA, TLM, 46990</v>
      </c>
      <c r="E101" t="s">
        <v>1</v>
      </c>
      <c r="F101" t="s">
        <v>567</v>
      </c>
      <c r="G101" t="s">
        <v>667</v>
      </c>
      <c r="H101">
        <v>46990</v>
      </c>
      <c r="I101">
        <f>VLOOKUP(C101,[1]Sheet1!$A$2:$E$20000,5,0)</f>
        <v>46990</v>
      </c>
      <c r="J101" s="2">
        <f t="shared" si="4"/>
        <v>41351.199999999997</v>
      </c>
      <c r="K101" s="2" t="str">
        <f>VLOOKUP(B101,'[2]WM-TLM'!$B$2:$BA$100,41,0)</f>
        <v>A++</v>
      </c>
      <c r="L101" t="s">
        <v>73</v>
      </c>
    </row>
    <row r="102" spans="1:12" x14ac:dyDescent="0.25">
      <c r="A102">
        <f t="shared" si="5"/>
        <v>101</v>
      </c>
      <c r="B102" s="1" t="s">
        <v>622</v>
      </c>
      <c r="C102" s="6">
        <v>8903287022067</v>
      </c>
      <c r="D102" s="7" t="str">
        <f>VLOOKUP(C102,[1]Sheet1!$A$2:$E$1223,2,0)&amp;", "&amp;VLOOKUP(C102,[1]Sheet1!$A$2:$E$1223,3,0)&amp;", "&amp;VLOOKUP(C102,[1]Sheet1!$A$2:$E$1223,5,0)</f>
        <v>TL-SSBL 9.0KG AQUA, TLM, 34690</v>
      </c>
      <c r="E102" t="s">
        <v>1</v>
      </c>
      <c r="F102" t="s">
        <v>567</v>
      </c>
      <c r="G102" t="s">
        <v>668</v>
      </c>
      <c r="H102">
        <v>34690</v>
      </c>
      <c r="I102">
        <f>VLOOKUP(C102,[1]Sheet1!$A$2:$E$20000,5,0)</f>
        <v>34690</v>
      </c>
      <c r="J102" s="2">
        <f>H102-(0.04*H102)</f>
        <v>33302.400000000001</v>
      </c>
      <c r="K102" s="2" t="str">
        <f>VLOOKUP(B102,'[2]WM-TLM'!$B$2:$BA$100,41,0)</f>
        <v>B</v>
      </c>
      <c r="L102" t="s">
        <v>73</v>
      </c>
    </row>
    <row r="103" spans="1:12" x14ac:dyDescent="0.25">
      <c r="A103">
        <f t="shared" si="5"/>
        <v>102</v>
      </c>
      <c r="B103" s="1" t="s">
        <v>623</v>
      </c>
      <c r="C103" s="6">
        <v>8903287022920</v>
      </c>
      <c r="D103" s="7" t="str">
        <f>VLOOKUP(C103,[1]Sheet1!$A$2:$E$1223,2,0)&amp;", "&amp;VLOOKUP(C103,[1]Sheet1!$A$2:$E$1223,3,0)&amp;", "&amp;VLOOKUP(C103,[1]Sheet1!$A$2:$E$1223,5,0)</f>
        <v>TL-S4RBS 12.0KG AQUA, TLM, 46490</v>
      </c>
      <c r="E103" t="s">
        <v>1</v>
      </c>
      <c r="F103" t="s">
        <v>567</v>
      </c>
      <c r="G103" t="s">
        <v>669</v>
      </c>
      <c r="H103">
        <v>46490</v>
      </c>
      <c r="I103">
        <f>VLOOKUP(C103,[1]Sheet1!$A$2:$E$20000,5,0)</f>
        <v>46490</v>
      </c>
      <c r="J103" s="2">
        <f t="shared" si="4"/>
        <v>40911.199999999997</v>
      </c>
      <c r="K103" s="2" t="str">
        <f>VLOOKUP(B103,'[2]WM-TLM'!$B$2:$BA$100,41,0)</f>
        <v>A++</v>
      </c>
      <c r="L103" t="s">
        <v>73</v>
      </c>
    </row>
    <row r="104" spans="1:12" x14ac:dyDescent="0.25">
      <c r="A104">
        <f t="shared" si="5"/>
        <v>103</v>
      </c>
      <c r="B104" s="1" t="s">
        <v>624</v>
      </c>
      <c r="C104" s="6">
        <v>8903287027260</v>
      </c>
      <c r="D104" s="7" t="str">
        <f>VLOOKUP(C104,[1]Sheet1!$A$2:$E$1223,2,0)&amp;", "&amp;VLOOKUP(C104,[1]Sheet1!$A$2:$E$1223,3,0)&amp;", "&amp;VLOOKUP(C104,[1]Sheet1!$A$2:$E$1223,5,0)</f>
        <v>TL-S1WRS 7.0KG AQUA, TLM, 33990</v>
      </c>
      <c r="E104" t="s">
        <v>1</v>
      </c>
      <c r="F104" t="s">
        <v>567</v>
      </c>
      <c r="G104" t="s">
        <v>670</v>
      </c>
      <c r="H104">
        <v>33990</v>
      </c>
      <c r="I104">
        <f>VLOOKUP(C104,[1]Sheet1!$A$2:$E$20000,5,0)</f>
        <v>33990</v>
      </c>
      <c r="J104" s="2">
        <f t="shared" si="4"/>
        <v>29911.200000000001</v>
      </c>
      <c r="K104" s="2" t="str">
        <f>VLOOKUP(B104,'[2]WM-TLM'!$B$2:$BA$100,41,0)</f>
        <v>B</v>
      </c>
      <c r="L104" t="s">
        <v>73</v>
      </c>
    </row>
    <row r="105" spans="1:12" x14ac:dyDescent="0.25">
      <c r="A105">
        <f t="shared" si="5"/>
        <v>104</v>
      </c>
      <c r="B105" s="1" t="s">
        <v>625</v>
      </c>
      <c r="C105" s="6">
        <v>8903287022241</v>
      </c>
      <c r="D105" s="7" t="str">
        <f>VLOOKUP(C105,[1]Sheet1!$A$2:$E$1223,2,0)&amp;", "&amp;VLOOKUP(C105,[1]Sheet1!$A$2:$E$1223,3,0)&amp;", "&amp;VLOOKUP(C105,[1]Sheet1!$A$2:$E$1223,5,0)</f>
        <v>TL-SDSH 8.0KG AQUA, TLM, 30990</v>
      </c>
      <c r="E105" t="s">
        <v>1</v>
      </c>
      <c r="F105" t="s">
        <v>567</v>
      </c>
      <c r="G105" t="s">
        <v>671</v>
      </c>
      <c r="H105">
        <v>30990</v>
      </c>
      <c r="I105">
        <f>VLOOKUP(C105,[1]Sheet1!$A$2:$E$20000,5,0)</f>
        <v>30990</v>
      </c>
      <c r="J105" s="2">
        <f>H105-(0.04*H105)</f>
        <v>29750.400000000001</v>
      </c>
      <c r="K105" s="2" t="str">
        <f>VLOOKUP(B105,'[2]WM-TLM'!$B$2:$BA$100,41,0)</f>
        <v>B</v>
      </c>
      <c r="L105" t="s">
        <v>73</v>
      </c>
    </row>
    <row r="106" spans="1:12" x14ac:dyDescent="0.25">
      <c r="A106">
        <f t="shared" si="5"/>
        <v>105</v>
      </c>
      <c r="B106" s="1" t="s">
        <v>626</v>
      </c>
      <c r="C106" s="6">
        <v>8903287022340</v>
      </c>
      <c r="D106" s="7" t="str">
        <f>VLOOKUP(C106,[1]Sheet1!$A$2:$E$1223,2,0)&amp;", "&amp;VLOOKUP(C106,[1]Sheet1!$A$2:$E$1223,3,0)&amp;", "&amp;VLOOKUP(C106,[1]Sheet1!$A$2:$E$1223,5,0)</f>
        <v>TL-RESS 7.0KG AQUA, TLM, 23750</v>
      </c>
      <c r="E106" t="s">
        <v>1</v>
      </c>
      <c r="F106" t="s">
        <v>567</v>
      </c>
      <c r="G106" t="s">
        <v>672</v>
      </c>
      <c r="H106">
        <v>23750</v>
      </c>
      <c r="I106">
        <f>VLOOKUP(C106,[1]Sheet1!$A$2:$E$20000,5,0)</f>
        <v>23750</v>
      </c>
      <c r="J106" s="2">
        <f>H106-(0.04*H106)</f>
        <v>22800</v>
      </c>
      <c r="K106" s="2" t="str">
        <f>VLOOKUP(B106,'[2]WM-TLM'!$B$2:$BA$100,41,0)</f>
        <v>C</v>
      </c>
      <c r="L106" t="s">
        <v>73</v>
      </c>
    </row>
    <row r="107" spans="1:12" x14ac:dyDescent="0.25">
      <c r="A107">
        <f t="shared" si="5"/>
        <v>106</v>
      </c>
      <c r="B107" s="1" t="s">
        <v>627</v>
      </c>
      <c r="C107" s="6">
        <v>8903287022333</v>
      </c>
      <c r="D107" s="7" t="str">
        <f>VLOOKUP(C107,[1]Sheet1!$A$2:$E$1223,2,0)&amp;", "&amp;VLOOKUP(C107,[1]Sheet1!$A$2:$E$1223,3,0)&amp;", "&amp;VLOOKUP(C107,[1]Sheet1!$A$2:$E$1223,5,0)</f>
        <v>TL-SPSS 6.5KG AQUA, TLM, 27950</v>
      </c>
      <c r="E107" t="s">
        <v>1</v>
      </c>
      <c r="F107" t="s">
        <v>567</v>
      </c>
      <c r="G107" t="s">
        <v>673</v>
      </c>
      <c r="H107">
        <v>27950</v>
      </c>
      <c r="I107">
        <f>VLOOKUP(C107,[1]Sheet1!$A$2:$E$20000,5,0)</f>
        <v>27950</v>
      </c>
      <c r="J107" s="2">
        <f>H107-(0.04*H107)</f>
        <v>26832</v>
      </c>
      <c r="K107" s="2" t="str">
        <f>VLOOKUP(B107,'[2]WM-TLM'!$B$2:$BA$100,41,0)</f>
        <v>C</v>
      </c>
      <c r="L107" t="s">
        <v>73</v>
      </c>
    </row>
    <row r="108" spans="1:12" x14ac:dyDescent="0.25">
      <c r="A108">
        <f t="shared" si="5"/>
        <v>107</v>
      </c>
      <c r="B108" s="1" t="s">
        <v>628</v>
      </c>
      <c r="C108" s="6">
        <v>8903287027215</v>
      </c>
      <c r="D108" s="7" t="str">
        <f>VLOOKUP(C108,[1]Sheet1!$A$2:$E$1223,2,0)&amp;", "&amp;VLOOKUP(C108,[1]Sheet1!$A$2:$E$1223,3,0)&amp;", "&amp;VLOOKUP(C108,[1]Sheet1!$A$2:$E$1223,5,0)</f>
        <v>TL-R1WRS 6.5KG AQUA, TLM, 28990</v>
      </c>
      <c r="E108" t="s">
        <v>1</v>
      </c>
      <c r="F108" t="s">
        <v>567</v>
      </c>
      <c r="G108" t="s">
        <v>674</v>
      </c>
      <c r="H108">
        <v>24990</v>
      </c>
      <c r="I108">
        <f>VLOOKUP(C108,[1]Sheet1!$A$2:$E$20000,5,0)</f>
        <v>28990</v>
      </c>
      <c r="J108" s="2">
        <f>H108-(0.04*H108)</f>
        <v>23990.400000000001</v>
      </c>
      <c r="K108" s="2" t="str">
        <f>VLOOKUP(B108,'[2]WM-TLM'!$B$2:$BA$100,41,0)</f>
        <v>C</v>
      </c>
      <c r="L108" t="s">
        <v>73</v>
      </c>
    </row>
    <row r="109" spans="1:12" x14ac:dyDescent="0.25">
      <c r="A109">
        <f t="shared" si="5"/>
        <v>108</v>
      </c>
      <c r="B109" s="1" t="s">
        <v>629</v>
      </c>
      <c r="C109" s="6">
        <v>8903287031007</v>
      </c>
      <c r="D109" s="7" t="str">
        <f>VLOOKUP(C109,[1]Sheet1!$A$2:$E$1223,2,0)&amp;", "&amp;VLOOKUP(C109,[1]Sheet1!$A$2:$E$1223,3,0)&amp;", "&amp;VLOOKUP(C109,[1]Sheet1!$A$2:$E$1223,5,0)</f>
        <v>TL-R2BRS 8.0KG AQUA, TLM, 32990</v>
      </c>
      <c r="E109" t="s">
        <v>1</v>
      </c>
      <c r="F109" t="s">
        <v>567</v>
      </c>
      <c r="G109" t="s">
        <v>675</v>
      </c>
      <c r="H109">
        <v>32990</v>
      </c>
      <c r="I109">
        <f>VLOOKUP(C109,[1]Sheet1!$A$2:$E$20000,5,0)</f>
        <v>32990</v>
      </c>
      <c r="J109" s="2">
        <f>H109-(0.04*H109)</f>
        <v>31670.400000000001</v>
      </c>
      <c r="K109" s="2" t="str">
        <f>VLOOKUP(B109,'[2]WM-TLM'!$B$2:$BA$100,41,0)</f>
        <v>B</v>
      </c>
      <c r="L109" t="s">
        <v>73</v>
      </c>
    </row>
    <row r="110" spans="1:12" x14ac:dyDescent="0.25">
      <c r="A110">
        <f t="shared" si="5"/>
        <v>109</v>
      </c>
      <c r="B110" s="1" t="s">
        <v>198</v>
      </c>
      <c r="C110" s="6">
        <v>8903287000676</v>
      </c>
      <c r="D110" s="7" t="str">
        <f>VLOOKUP(C110,[1]Sheet1!$A$2:$E$1223,2,0)&amp;", "&amp;VLOOKUP(C110,[1]Sheet1!$A$2:$E$1223,3,0)&amp;", "&amp;VLOOKUP(C110,[1]Sheet1!$A$2:$E$1223,5,0)</f>
        <v>TURBO DRY, CD, 25690</v>
      </c>
      <c r="E110" t="s">
        <v>199</v>
      </c>
      <c r="F110" t="s">
        <v>199</v>
      </c>
      <c r="G110" t="s">
        <v>676</v>
      </c>
      <c r="H110">
        <v>26690</v>
      </c>
      <c r="J110" s="11">
        <v>23487.200000000001</v>
      </c>
      <c r="K110" t="s">
        <v>842</v>
      </c>
      <c r="L110" t="s">
        <v>73</v>
      </c>
    </row>
    <row r="111" spans="1:12" x14ac:dyDescent="0.25">
      <c r="A111">
        <f t="shared" si="5"/>
        <v>110</v>
      </c>
      <c r="B111" s="1" t="s">
        <v>216</v>
      </c>
      <c r="C111" s="6">
        <v>8903287000768</v>
      </c>
      <c r="D111" s="7" t="str">
        <f>VLOOKUP(C111,[1]Sheet1!$A$2:$E$1223,2,0)&amp;", "&amp;VLOOKUP(C111,[1]Sheet1!$A$2:$E$1223,3,0)&amp;", "&amp;VLOOKUP(C111,[1]Sheet1!$A$2:$E$1223,5,0)</f>
        <v>TURBO DRY MX, CD, 29990</v>
      </c>
      <c r="E111" t="s">
        <v>199</v>
      </c>
      <c r="F111" t="s">
        <v>199</v>
      </c>
      <c r="G111" t="s">
        <v>677</v>
      </c>
      <c r="H111">
        <v>30990</v>
      </c>
      <c r="J111" s="11">
        <v>27271.200000000001</v>
      </c>
      <c r="K111" t="s">
        <v>843</v>
      </c>
      <c r="L111" t="s">
        <v>73</v>
      </c>
    </row>
    <row r="112" spans="1:12" x14ac:dyDescent="0.25">
      <c r="A112">
        <f t="shared" si="5"/>
        <v>111</v>
      </c>
      <c r="B112" s="1" t="s">
        <v>217</v>
      </c>
      <c r="C112" s="6">
        <v>8903287000751</v>
      </c>
      <c r="D112" s="7" t="str">
        <f>VLOOKUP(C112,[1]Sheet1!$A$2:$E$1223,2,0)&amp;", "&amp;VLOOKUP(C112,[1]Sheet1!$A$2:$E$1223,3,0)&amp;", "&amp;VLOOKUP(C112,[1]Sheet1!$A$2:$E$1223,5,0)</f>
        <v>TURBO DRY LX, CD, 29990</v>
      </c>
      <c r="E112" t="s">
        <v>199</v>
      </c>
      <c r="F112" t="s">
        <v>199</v>
      </c>
      <c r="G112" t="s">
        <v>678</v>
      </c>
      <c r="H112">
        <v>29990</v>
      </c>
      <c r="J112" s="11">
        <v>26391.200000000001</v>
      </c>
      <c r="K112" t="s">
        <v>843</v>
      </c>
      <c r="L112" t="s">
        <v>73</v>
      </c>
    </row>
    <row r="113" spans="1:12" x14ac:dyDescent="0.25">
      <c r="A113">
        <f t="shared" si="5"/>
        <v>112</v>
      </c>
      <c r="B113" s="1" t="s">
        <v>218</v>
      </c>
      <c r="C113" s="6">
        <v>8903287000775</v>
      </c>
      <c r="D113" s="7" t="str">
        <f>VLOOKUP(C113,[1]Sheet1!$A$2:$E$1223,2,0)&amp;", "&amp;VLOOKUP(C113,[1]Sheet1!$A$2:$E$1223,3,0)&amp;", "&amp;VLOOKUP(C113,[1]Sheet1!$A$2:$E$1223,5,0)</f>
        <v>TURBO DRY RX, CD, 29990</v>
      </c>
      <c r="E113" t="s">
        <v>199</v>
      </c>
      <c r="F113" t="s">
        <v>199</v>
      </c>
      <c r="G113" t="s">
        <v>679</v>
      </c>
      <c r="H113">
        <v>29990</v>
      </c>
      <c r="J113" s="11">
        <v>26391.200000000001</v>
      </c>
      <c r="K113" t="s">
        <v>843</v>
      </c>
      <c r="L113" t="s">
        <v>73</v>
      </c>
    </row>
    <row r="114" spans="1:12" x14ac:dyDescent="0.25">
      <c r="A114">
        <f t="shared" si="5"/>
        <v>113</v>
      </c>
      <c r="B114" s="1" t="s">
        <v>219</v>
      </c>
      <c r="C114" s="6">
        <v>8903287000669</v>
      </c>
      <c r="D114" s="7" t="str">
        <f>VLOOKUP(C114,[1]Sheet1!$A$2:$E$1223,2,0)&amp;", "&amp;VLOOKUP(C114,[1]Sheet1!$A$2:$E$1223,3,0)&amp;", "&amp;VLOOKUP(C114,[1]Sheet1!$A$2:$E$1223,5,0)</f>
        <v>TURBO DRY EX, CD, 26990</v>
      </c>
      <c r="E114" t="s">
        <v>199</v>
      </c>
      <c r="F114" t="s">
        <v>199</v>
      </c>
      <c r="G114" t="s">
        <v>680</v>
      </c>
      <c r="H114">
        <v>27990</v>
      </c>
      <c r="J114" s="11">
        <v>24631.200000000001</v>
      </c>
      <c r="K114" t="s">
        <v>843</v>
      </c>
      <c r="L114" t="s">
        <v>73</v>
      </c>
    </row>
    <row r="115" spans="1:12" x14ac:dyDescent="0.25">
      <c r="A115">
        <f t="shared" si="5"/>
        <v>114</v>
      </c>
      <c r="B115" s="1" t="s">
        <v>222</v>
      </c>
      <c r="C115" s="6">
        <v>8903287005602</v>
      </c>
      <c r="D115" s="7" t="str">
        <f>VLOOKUP(C115,[1]Sheet1!$A$2:$E$1223,2,0)&amp;", "&amp;VLOOKUP(C115,[1]Sheet1!$A$2:$E$1223,3,0)&amp;", "&amp;VLOOKUP(C115,[1]Sheet1!$A$2:$E$1223,5,0)</f>
        <v>MICRO WAVE OVEN 20PM-MEC2B, MW, 7690</v>
      </c>
      <c r="E115" t="s">
        <v>226</v>
      </c>
      <c r="F115" t="s">
        <v>227</v>
      </c>
      <c r="G115" t="s">
        <v>681</v>
      </c>
      <c r="H115">
        <v>7690</v>
      </c>
      <c r="J115" s="2">
        <f>H115-(H115*0.03)</f>
        <v>7459.3</v>
      </c>
      <c r="K115" s="2" t="str">
        <f>VLOOKUP(B115,[2]MW!$B$2:$BA$100,33,0)</f>
        <v>C</v>
      </c>
      <c r="L115" t="s">
        <v>73</v>
      </c>
    </row>
    <row r="116" spans="1:12" x14ac:dyDescent="0.25">
      <c r="A116">
        <f t="shared" si="5"/>
        <v>115</v>
      </c>
      <c r="B116" s="1" t="s">
        <v>223</v>
      </c>
      <c r="C116" s="6">
        <v>8903287005589</v>
      </c>
      <c r="D116" s="7" t="str">
        <f>VLOOKUP(C116,[1]Sheet1!$A$2:$E$1223,2,0)&amp;", "&amp;VLOOKUP(C116,[1]Sheet1!$A$2:$E$1223,3,0)&amp;", "&amp;VLOOKUP(C116,[1]Sheet1!$A$2:$E$1223,5,0)</f>
        <v>MICROWAVE OVEN 25PM2S, MW, 9590</v>
      </c>
      <c r="E116" t="s">
        <v>226</v>
      </c>
      <c r="F116" t="s">
        <v>227</v>
      </c>
      <c r="G116" t="s">
        <v>682</v>
      </c>
      <c r="H116">
        <v>9590</v>
      </c>
      <c r="J116" s="2">
        <f t="shared" ref="J116:J117" si="6">H116-(H116*0.03)</f>
        <v>9302.2999999999993</v>
      </c>
      <c r="K116" s="2" t="str">
        <f>VLOOKUP(B116,[2]MW!$B$2:$BA$100,33,0)</f>
        <v>C</v>
      </c>
      <c r="L116" t="s">
        <v>73</v>
      </c>
    </row>
    <row r="117" spans="1:12" x14ac:dyDescent="0.25">
      <c r="A117">
        <f t="shared" si="5"/>
        <v>116</v>
      </c>
      <c r="B117" s="1" t="s">
        <v>224</v>
      </c>
      <c r="C117" s="6">
        <v>8903287005695</v>
      </c>
      <c r="D117" s="7" t="str">
        <f>VLOOKUP(C117,[1]Sheet1!$A$2:$E$1223,2,0)&amp;", "&amp;VLOOKUP(C117,[1]Sheet1!$A$2:$E$1223,3,0)&amp;", "&amp;VLOOKUP(C117,[1]Sheet1!$A$2:$E$1223,5,0)</f>
        <v>MICRO WAVE OVEN 24PM2B, MW, 8990</v>
      </c>
      <c r="E117" t="s">
        <v>226</v>
      </c>
      <c r="F117" t="s">
        <v>227</v>
      </c>
      <c r="G117" t="s">
        <v>683</v>
      </c>
      <c r="H117">
        <v>8990</v>
      </c>
      <c r="J117" s="2">
        <f t="shared" si="6"/>
        <v>8720.2999999999993</v>
      </c>
      <c r="K117" s="2" t="str">
        <f>VLOOKUP(B117,[2]MW!$B$2:$BA$100,33,0)</f>
        <v>C</v>
      </c>
      <c r="L117" t="s">
        <v>73</v>
      </c>
    </row>
    <row r="118" spans="1:12" x14ac:dyDescent="0.25">
      <c r="A118">
        <f t="shared" si="5"/>
        <v>117</v>
      </c>
      <c r="B118" s="1" t="s">
        <v>225</v>
      </c>
      <c r="C118" s="6">
        <v>8903287005596</v>
      </c>
      <c r="D118" s="7" t="str">
        <f>VLOOKUP(C118,[1]Sheet1!$A$2:$E$1223,2,0)&amp;", "&amp;VLOOKUP(C118,[1]Sheet1!$A$2:$E$1223,3,0)&amp;", "&amp;VLOOKUP(C118,[1]Sheet1!$A$2:$E$1223,5,0)</f>
        <v>MICRO WAVE OVEN 20PM-MEC2, MW, 7390</v>
      </c>
      <c r="E118" t="s">
        <v>226</v>
      </c>
      <c r="F118" t="s">
        <v>227</v>
      </c>
      <c r="G118" t="s">
        <v>684</v>
      </c>
      <c r="H118">
        <v>7490</v>
      </c>
      <c r="J118" s="2">
        <f>H118-(H118*0.03)</f>
        <v>7265.3</v>
      </c>
      <c r="K118" s="2" t="str">
        <f>VLOOKUP(B118,[2]MW!$B$2:$BA$100,33,0)</f>
        <v>C</v>
      </c>
      <c r="L118" t="s">
        <v>73</v>
      </c>
    </row>
    <row r="119" spans="1:12" x14ac:dyDescent="0.25">
      <c r="A119">
        <f t="shared" si="5"/>
        <v>118</v>
      </c>
      <c r="B119" s="1" t="s">
        <v>248</v>
      </c>
      <c r="C119" s="6">
        <v>8903287005404</v>
      </c>
      <c r="D119" s="7" t="str">
        <f>VLOOKUP(C119,[1]Sheet1!$A$2:$E$1223,2,0)&amp;", "&amp;VLOOKUP(C119,[1]Sheet1!$A$2:$E$1223,3,0)&amp;", "&amp;VLOOKUP(C119,[1]Sheet1!$A$2:$E$1223,5,0)</f>
        <v>MICRO WAVE OVEN 20PG4S, MW, 10590</v>
      </c>
      <c r="E119" t="s">
        <v>226</v>
      </c>
      <c r="F119" t="s">
        <v>249</v>
      </c>
      <c r="G119" t="s">
        <v>685</v>
      </c>
      <c r="H119">
        <v>10590</v>
      </c>
      <c r="J119" s="2">
        <f>H119-(H119*0.03)</f>
        <v>10272.299999999999</v>
      </c>
      <c r="K119" s="2" t="str">
        <f>VLOOKUP(B119,[2]MW!$B$2:$BA$100,33,0)</f>
        <v>C</v>
      </c>
      <c r="L119" t="s">
        <v>73</v>
      </c>
    </row>
    <row r="120" spans="1:12" x14ac:dyDescent="0.25">
      <c r="A120">
        <f t="shared" si="5"/>
        <v>119</v>
      </c>
      <c r="B120" s="1" t="s">
        <v>251</v>
      </c>
      <c r="C120" s="6">
        <v>8903287005213</v>
      </c>
      <c r="D120" s="7" t="str">
        <f>VLOOKUP(C120,[1]Sheet1!$A$2:$E$1223,2,0)&amp;", "&amp;VLOOKUP(C120,[1]Sheet1!$A$2:$E$1223,3,0)&amp;", "&amp;VLOOKUP(C120,[1]Sheet1!$A$2:$E$1223,5,0)</f>
        <v>MICRO WAVE OVEN CONVECTION 23SC3, MW, 14990</v>
      </c>
      <c r="E120" t="s">
        <v>226</v>
      </c>
      <c r="F120" t="s">
        <v>268</v>
      </c>
      <c r="G120" t="s">
        <v>686</v>
      </c>
      <c r="H120">
        <v>14990</v>
      </c>
      <c r="J120" s="2">
        <f t="shared" ref="J120:J136" si="7">H120-(H120*0.08)</f>
        <v>13790.8</v>
      </c>
      <c r="K120" s="2" t="str">
        <f>VLOOKUP(B120,[2]MW!$B$2:$BA$100,33,0)</f>
        <v>B</v>
      </c>
      <c r="L120" t="s">
        <v>73</v>
      </c>
    </row>
    <row r="121" spans="1:12" x14ac:dyDescent="0.25">
      <c r="A121">
        <f t="shared" si="5"/>
        <v>120</v>
      </c>
      <c r="B121" s="1" t="s">
        <v>252</v>
      </c>
      <c r="C121" s="6">
        <v>8903287005268</v>
      </c>
      <c r="D121" s="7" t="str">
        <f>VLOOKUP(C121,[1]Sheet1!$A$2:$E$1223,2,0)&amp;", "&amp;VLOOKUP(C121,[1]Sheet1!$A$2:$E$1223,3,0)&amp;", "&amp;VLOOKUP(C121,[1]Sheet1!$A$2:$E$1223,5,0)</f>
        <v>MICRO WAVE OVEN 25BC3, MW, 17490</v>
      </c>
      <c r="E121" t="s">
        <v>226</v>
      </c>
      <c r="F121" t="s">
        <v>268</v>
      </c>
      <c r="G121" t="s">
        <v>687</v>
      </c>
      <c r="H121">
        <v>17490</v>
      </c>
      <c r="J121" s="2">
        <f t="shared" si="7"/>
        <v>16090.8</v>
      </c>
      <c r="K121" s="2" t="str">
        <f>VLOOKUP(B121,[2]MW!$B$2:$BA$100,33,0)</f>
        <v>A+</v>
      </c>
      <c r="L121" t="s">
        <v>73</v>
      </c>
    </row>
    <row r="122" spans="1:12" x14ac:dyDescent="0.25">
      <c r="A122">
        <f t="shared" si="5"/>
        <v>121</v>
      </c>
      <c r="B122" s="1" t="s">
        <v>253</v>
      </c>
      <c r="C122" s="6">
        <v>8903287005220</v>
      </c>
      <c r="D122" s="7" t="str">
        <f>VLOOKUP(C122,[1]Sheet1!$A$2:$E$1223,2,0)&amp;", "&amp;VLOOKUP(C122,[1]Sheet1!$A$2:$E$1223,3,0)&amp;", "&amp;VLOOKUP(C122,[1]Sheet1!$A$2:$E$1223,5,0)</f>
        <v>MICRO WAVE OVEN CONVECTION 30BRC2, MW, 20390</v>
      </c>
      <c r="E122" t="s">
        <v>226</v>
      </c>
      <c r="F122" t="s">
        <v>268</v>
      </c>
      <c r="G122" t="s">
        <v>688</v>
      </c>
      <c r="H122">
        <v>20390</v>
      </c>
      <c r="J122" s="2">
        <f t="shared" si="7"/>
        <v>18758.8</v>
      </c>
      <c r="K122" s="2" t="str">
        <f>VLOOKUP(B122,[2]MW!$B$2:$BA$100,33,0)</f>
        <v>A++</v>
      </c>
      <c r="L122" t="s">
        <v>73</v>
      </c>
    </row>
    <row r="123" spans="1:12" x14ac:dyDescent="0.25">
      <c r="A123">
        <f t="shared" si="5"/>
        <v>122</v>
      </c>
      <c r="B123" s="1" t="s">
        <v>254</v>
      </c>
      <c r="C123" s="6">
        <v>8903287005312</v>
      </c>
      <c r="D123" s="7" t="str">
        <f>VLOOKUP(C123,[1]Sheet1!$A$2:$E$1223,2,0)&amp;", "&amp;VLOOKUP(C123,[1]Sheet1!$A$2:$E$1223,3,0)&amp;", "&amp;VLOOKUP(C123,[1]Sheet1!$A$2:$E$1223,5,0)</f>
        <v>MICRO WAVE OVEN 23BC4, MW, 16790</v>
      </c>
      <c r="E123" t="s">
        <v>226</v>
      </c>
      <c r="F123" t="s">
        <v>268</v>
      </c>
      <c r="G123" t="s">
        <v>689</v>
      </c>
      <c r="H123">
        <v>16790</v>
      </c>
      <c r="J123" s="2">
        <f t="shared" si="7"/>
        <v>15446.8</v>
      </c>
      <c r="K123" s="2" t="str">
        <f>VLOOKUP(B123,[2]MW!$B$2:$BA$100,33,0)</f>
        <v>A</v>
      </c>
      <c r="L123" t="s">
        <v>73</v>
      </c>
    </row>
    <row r="124" spans="1:12" x14ac:dyDescent="0.25">
      <c r="A124">
        <f t="shared" si="5"/>
        <v>123</v>
      </c>
      <c r="B124" s="1" t="s">
        <v>255</v>
      </c>
      <c r="C124" s="6">
        <v>8903287005350</v>
      </c>
      <c r="D124" s="7" t="str">
        <f>VLOOKUP(C124,[1]Sheet1!$A$2:$E$1223,2,0)&amp;", "&amp;VLOOKUP(C124,[1]Sheet1!$A$2:$E$1223,3,0)&amp;", "&amp;VLOOKUP(C124,[1]Sheet1!$A$2:$E$1223,5,0)</f>
        <v>MICRO WAVE OVEN 25SC4, MW, 17990</v>
      </c>
      <c r="E124" t="s">
        <v>226</v>
      </c>
      <c r="F124" t="s">
        <v>268</v>
      </c>
      <c r="G124" t="s">
        <v>690</v>
      </c>
      <c r="H124">
        <v>17990</v>
      </c>
      <c r="J124" s="2">
        <f t="shared" si="7"/>
        <v>16550.8</v>
      </c>
      <c r="K124" s="2" t="str">
        <f>VLOOKUP(B124,[2]MW!$B$2:$BA$100,33,0)</f>
        <v>A+</v>
      </c>
      <c r="L124" t="s">
        <v>73</v>
      </c>
    </row>
    <row r="125" spans="1:12" x14ac:dyDescent="0.25">
      <c r="A125">
        <f t="shared" si="5"/>
        <v>124</v>
      </c>
      <c r="B125" s="1" t="s">
        <v>256</v>
      </c>
      <c r="C125" s="6">
        <v>8903287005411</v>
      </c>
      <c r="D125" s="7" t="str">
        <f>VLOOKUP(C125,[1]Sheet1!$A$2:$E$1223,2,0)&amp;", "&amp;VLOOKUP(C125,[1]Sheet1!$A$2:$E$1223,3,0)&amp;", "&amp;VLOOKUP(C125,[1]Sheet1!$A$2:$E$1223,5,0)</f>
        <v>MICRO WAVE OVEN 30FRC2, MW, 20990</v>
      </c>
      <c r="E125" t="s">
        <v>226</v>
      </c>
      <c r="F125" t="s">
        <v>268</v>
      </c>
      <c r="G125" t="s">
        <v>691</v>
      </c>
      <c r="H125">
        <v>20990</v>
      </c>
      <c r="J125" s="2">
        <f t="shared" si="7"/>
        <v>19310.8</v>
      </c>
      <c r="K125" s="2" t="str">
        <f>VLOOKUP(B125,[2]MW!$B$2:$BA$100,33,0)</f>
        <v>A++</v>
      </c>
      <c r="L125" t="s">
        <v>73</v>
      </c>
    </row>
    <row r="126" spans="1:12" x14ac:dyDescent="0.25">
      <c r="A126">
        <f t="shared" si="5"/>
        <v>125</v>
      </c>
      <c r="B126" s="1" t="s">
        <v>257</v>
      </c>
      <c r="C126" s="6">
        <v>8903287005367</v>
      </c>
      <c r="D126" s="7" t="str">
        <f>VLOOKUP(C126,[1]Sheet1!$A$2:$E$1223,2,0)&amp;", "&amp;VLOOKUP(C126,[1]Sheet1!$A$2:$E$1223,3,0)&amp;", "&amp;VLOOKUP(C126,[1]Sheet1!$A$2:$E$1223,5,0)</f>
        <v>MICRO WAVE OVEN 20BC4, MW, 14390</v>
      </c>
      <c r="E126" t="s">
        <v>226</v>
      </c>
      <c r="F126" t="s">
        <v>268</v>
      </c>
      <c r="G126" t="s">
        <v>692</v>
      </c>
      <c r="H126">
        <v>14390</v>
      </c>
      <c r="J126" s="2">
        <f t="shared" si="7"/>
        <v>13238.8</v>
      </c>
      <c r="K126" s="2" t="str">
        <f>VLOOKUP(B126,[2]MW!$B$2:$BA$100,33,0)</f>
        <v>B</v>
      </c>
      <c r="L126" t="s">
        <v>73</v>
      </c>
    </row>
    <row r="127" spans="1:12" x14ac:dyDescent="0.25">
      <c r="A127">
        <f t="shared" si="5"/>
        <v>126</v>
      </c>
      <c r="B127" s="1" t="s">
        <v>258</v>
      </c>
      <c r="C127" s="6">
        <v>8903287005336</v>
      </c>
      <c r="D127" s="7" t="str">
        <f>VLOOKUP(C127,[1]Sheet1!$A$2:$E$1223,2,0)&amp;", "&amp;VLOOKUP(C127,[1]Sheet1!$A$2:$E$1223,3,0)&amp;", "&amp;VLOOKUP(C127,[1]Sheet1!$A$2:$E$1223,5,0)</f>
        <v>MICRO WAVE OVEN 25BC4, MW, 18690</v>
      </c>
      <c r="E127" t="s">
        <v>226</v>
      </c>
      <c r="F127" t="s">
        <v>268</v>
      </c>
      <c r="G127" t="s">
        <v>693</v>
      </c>
      <c r="H127">
        <v>18690</v>
      </c>
      <c r="J127" s="2">
        <f t="shared" si="7"/>
        <v>17194.8</v>
      </c>
      <c r="K127" s="2" t="str">
        <f>VLOOKUP(B127,[2]MW!$B$2:$BA$100,33,0)</f>
        <v>A+</v>
      </c>
      <c r="L127" t="s">
        <v>73</v>
      </c>
    </row>
    <row r="128" spans="1:12" x14ac:dyDescent="0.25">
      <c r="A128">
        <f t="shared" si="5"/>
        <v>127</v>
      </c>
      <c r="B128" s="1" t="s">
        <v>259</v>
      </c>
      <c r="C128" s="6">
        <v>8903287005664</v>
      </c>
      <c r="D128" s="7" t="str">
        <f>VLOOKUP(C128,[1]Sheet1!$A$2:$E$1223,2,0)&amp;", "&amp;VLOOKUP(C128,[1]Sheet1!$A$2:$E$1223,3,0)&amp;", "&amp;VLOOKUP(C128,[1]Sheet1!$A$2:$E$1223,5,0)</f>
        <v>MICRO WAVE OVEN 28BC5, MW, 18490</v>
      </c>
      <c r="E128" t="s">
        <v>226</v>
      </c>
      <c r="F128" t="s">
        <v>268</v>
      </c>
      <c r="G128" t="s">
        <v>694</v>
      </c>
      <c r="H128">
        <v>18490</v>
      </c>
      <c r="J128" s="2">
        <f t="shared" si="7"/>
        <v>17010.8</v>
      </c>
      <c r="K128" s="2" t="str">
        <f>VLOOKUP(B128,[2]MW!$B$2:$BA$100,33,0)</f>
        <v>A+</v>
      </c>
      <c r="L128" t="s">
        <v>73</v>
      </c>
    </row>
    <row r="129" spans="1:12" x14ac:dyDescent="0.25">
      <c r="A129">
        <f t="shared" si="5"/>
        <v>128</v>
      </c>
      <c r="B129" s="1" t="s">
        <v>260</v>
      </c>
      <c r="C129" s="6">
        <v>8903287005510</v>
      </c>
      <c r="D129" s="7" t="str">
        <f>VLOOKUP(C129,[1]Sheet1!$A$2:$E$1223,2,0)&amp;", "&amp;VLOOKUP(C129,[1]Sheet1!$A$2:$E$1223,3,0)&amp;", "&amp;VLOOKUP(C129,[1]Sheet1!$A$2:$E$1223,5,0)</f>
        <v>MICRO WAVE OVEN 30BRC3, MW, 20490</v>
      </c>
      <c r="E129" t="s">
        <v>226</v>
      </c>
      <c r="F129" t="s">
        <v>268</v>
      </c>
      <c r="G129" t="s">
        <v>695</v>
      </c>
      <c r="H129">
        <v>20490</v>
      </c>
      <c r="J129" s="2">
        <f t="shared" si="7"/>
        <v>18850.8</v>
      </c>
      <c r="K129" s="2" t="str">
        <f>VLOOKUP(B129,[2]MW!$B$2:$BA$100,33,0)</f>
        <v>A++</v>
      </c>
      <c r="L129" t="s">
        <v>73</v>
      </c>
    </row>
    <row r="130" spans="1:12" x14ac:dyDescent="0.25">
      <c r="A130">
        <f t="shared" si="5"/>
        <v>129</v>
      </c>
      <c r="B130" s="1" t="s">
        <v>261</v>
      </c>
      <c r="C130" s="6">
        <v>8903287005374</v>
      </c>
      <c r="D130" s="7" t="str">
        <f>VLOOKUP(C130,[1]Sheet1!$A$2:$E$1223,2,0)&amp;", "&amp;VLOOKUP(C130,[1]Sheet1!$A$2:$E$1223,3,0)&amp;", "&amp;VLOOKUP(C130,[1]Sheet1!$A$2:$E$1223,5,0)</f>
        <v>MICRO WAVE OVEN 30SC4, MW, 18990</v>
      </c>
      <c r="E130" t="s">
        <v>226</v>
      </c>
      <c r="F130" t="s">
        <v>268</v>
      </c>
      <c r="G130" t="s">
        <v>696</v>
      </c>
      <c r="H130">
        <v>18990</v>
      </c>
      <c r="J130" s="2">
        <f t="shared" si="7"/>
        <v>17470.8</v>
      </c>
      <c r="K130" s="2" t="str">
        <f>VLOOKUP(B130,[2]MW!$B$2:$BA$100,33,0)</f>
        <v>A++</v>
      </c>
      <c r="L130" t="s">
        <v>73</v>
      </c>
    </row>
    <row r="131" spans="1:12" x14ac:dyDescent="0.25">
      <c r="A131">
        <f t="shared" ref="A131:A194" si="8">ROW(B130)</f>
        <v>130</v>
      </c>
      <c r="B131" s="1" t="s">
        <v>262</v>
      </c>
      <c r="C131" s="6">
        <v>8903287005534</v>
      </c>
      <c r="D131" s="7" t="str">
        <f>VLOOKUP(C131,[1]Sheet1!$A$2:$E$1223,2,0)&amp;", "&amp;VLOOKUP(C131,[1]Sheet1!$A$2:$E$1223,3,0)&amp;", "&amp;VLOOKUP(C131,[1]Sheet1!$A$2:$E$1223,5,0)</f>
        <v>MICRO WAVE OVEN 20BC5, MW, 16190</v>
      </c>
      <c r="E131" t="s">
        <v>226</v>
      </c>
      <c r="F131" t="s">
        <v>268</v>
      </c>
      <c r="G131" t="s">
        <v>697</v>
      </c>
      <c r="H131">
        <v>16190</v>
      </c>
      <c r="J131" s="2">
        <f t="shared" si="7"/>
        <v>14894.8</v>
      </c>
      <c r="K131" s="2" t="str">
        <f>VLOOKUP(B131,[2]MW!$B$2:$BA$100,33,0)</f>
        <v>A</v>
      </c>
      <c r="L131" t="s">
        <v>73</v>
      </c>
    </row>
    <row r="132" spans="1:12" x14ac:dyDescent="0.25">
      <c r="A132">
        <f t="shared" si="8"/>
        <v>131</v>
      </c>
      <c r="B132" s="1" t="s">
        <v>263</v>
      </c>
      <c r="C132" s="6">
        <v>8903287005541</v>
      </c>
      <c r="D132" s="7" t="str">
        <f>VLOOKUP(C132,[1]Sheet1!$A$2:$E$1223,2,0)&amp;", "&amp;VLOOKUP(C132,[1]Sheet1!$A$2:$E$1223,3,0)&amp;", "&amp;VLOOKUP(C132,[1]Sheet1!$A$2:$E$1223,5,0)</f>
        <v>MICRO WAVE OVEN 23BC5, MW, 16990</v>
      </c>
      <c r="E132" t="s">
        <v>226</v>
      </c>
      <c r="F132" t="s">
        <v>268</v>
      </c>
      <c r="G132" t="s">
        <v>698</v>
      </c>
      <c r="H132">
        <v>16990</v>
      </c>
      <c r="J132" s="2">
        <f t="shared" si="7"/>
        <v>15630.8</v>
      </c>
      <c r="K132" s="2" t="str">
        <f>VLOOKUP(B132,[2]MW!$B$2:$BA$100,33,0)</f>
        <v>A+</v>
      </c>
      <c r="L132" t="s">
        <v>73</v>
      </c>
    </row>
    <row r="133" spans="1:12" x14ac:dyDescent="0.25">
      <c r="A133">
        <f t="shared" si="8"/>
        <v>132</v>
      </c>
      <c r="B133" s="1" t="s">
        <v>264</v>
      </c>
      <c r="C133" s="6">
        <v>8903287005572</v>
      </c>
      <c r="D133" s="7" t="str">
        <f>VLOOKUP(C133,[1]Sheet1!$A$2:$E$1223,2,0)&amp;", "&amp;VLOOKUP(C133,[1]Sheet1!$A$2:$E$1223,3,0)&amp;", "&amp;VLOOKUP(C133,[1]Sheet1!$A$2:$E$1223,5,0)</f>
        <v>MICRO WAVE OVEN 30BC5, MW, 19390</v>
      </c>
      <c r="E133" t="s">
        <v>226</v>
      </c>
      <c r="F133" t="s">
        <v>268</v>
      </c>
      <c r="G133" t="s">
        <v>699</v>
      </c>
      <c r="H133">
        <v>19390</v>
      </c>
      <c r="J133" s="2">
        <f t="shared" si="7"/>
        <v>17838.8</v>
      </c>
      <c r="K133" s="2" t="str">
        <f>VLOOKUP(B133,[2]MW!$B$2:$BA$100,33,0)</f>
        <v>A++</v>
      </c>
      <c r="L133" t="s">
        <v>73</v>
      </c>
    </row>
    <row r="134" spans="1:12" x14ac:dyDescent="0.25">
      <c r="A134">
        <f t="shared" si="8"/>
        <v>133</v>
      </c>
      <c r="B134" s="1" t="s">
        <v>265</v>
      </c>
      <c r="C134" s="6">
        <v>8903287005565</v>
      </c>
      <c r="D134" s="7" t="str">
        <f>VLOOKUP(C134,[1]Sheet1!$A$2:$E$1223,2,0)&amp;", "&amp;VLOOKUP(C134,[1]Sheet1!$A$2:$E$1223,3,0)&amp;", "&amp;VLOOKUP(C134,[1]Sheet1!$A$2:$E$1223,5,0)</f>
        <v>MICRO WAVE OVEN 25DGBC2, MW, 18590</v>
      </c>
      <c r="E134" t="s">
        <v>226</v>
      </c>
      <c r="F134" t="s">
        <v>268</v>
      </c>
      <c r="G134" t="s">
        <v>700</v>
      </c>
      <c r="H134">
        <v>18590</v>
      </c>
      <c r="J134" s="2">
        <f t="shared" si="7"/>
        <v>17102.8</v>
      </c>
      <c r="K134" s="2" t="str">
        <f>VLOOKUP(B134,[2]MW!$B$2:$BA$100,33,0)</f>
        <v>A+</v>
      </c>
      <c r="L134" t="s">
        <v>73</v>
      </c>
    </row>
    <row r="135" spans="1:12" x14ac:dyDescent="0.25">
      <c r="A135">
        <f t="shared" si="8"/>
        <v>134</v>
      </c>
      <c r="B135" s="1" t="s">
        <v>266</v>
      </c>
      <c r="C135" s="7" t="e">
        <f>VLOOKUP(B135,[1]Sheet1!$A$2:$E$1223,2,0)&amp;", "&amp;VLOOKUP(B135,[1]Sheet1!$A$2:$E$1223,3,0)&amp;", "&amp;VLOOKUP(B135,[1]Sheet1!$A$2:$E$1223,5,0)</f>
        <v>#N/A</v>
      </c>
      <c r="D135" s="7" t="e">
        <f>VLOOKUP(C135,[1]Sheet1!$A$2:$E$1223,2,0)&amp;", "&amp;VLOOKUP(C135,[1]Sheet1!$A$2:$E$1223,3,0)&amp;", "&amp;VLOOKUP(C135,[1]Sheet1!$A$2:$E$1223,5,0)</f>
        <v>#N/A</v>
      </c>
      <c r="E135" t="s">
        <v>226</v>
      </c>
      <c r="F135" t="s">
        <v>268</v>
      </c>
      <c r="G135" t="s">
        <v>701</v>
      </c>
      <c r="H135">
        <v>14790</v>
      </c>
      <c r="J135" s="2">
        <f t="shared" si="7"/>
        <v>13606.8</v>
      </c>
      <c r="K135" s="2" t="str">
        <f>VLOOKUP(B135,[2]MW!$B$2:$BA$100,33,0)</f>
        <v>B</v>
      </c>
      <c r="L135" t="s">
        <v>73</v>
      </c>
    </row>
    <row r="136" spans="1:12" x14ac:dyDescent="0.25">
      <c r="A136">
        <f t="shared" si="8"/>
        <v>135</v>
      </c>
      <c r="B136" s="1" t="s">
        <v>267</v>
      </c>
      <c r="C136" s="6">
        <v>8903287005077</v>
      </c>
      <c r="D136" s="7" t="str">
        <f>VLOOKUP(C136,[1]Sheet1!$A$2:$E$1223,2,0)&amp;", "&amp;VLOOKUP(C136,[1]Sheet1!$A$2:$E$1223,3,0)&amp;", "&amp;VLOOKUP(C136,[1]Sheet1!$A$2:$E$1223,5,0)</f>
        <v>MICROWAVE OVEN 20SC2, MW, 14490</v>
      </c>
      <c r="E136" t="s">
        <v>226</v>
      </c>
      <c r="F136" t="s">
        <v>268</v>
      </c>
      <c r="G136" t="s">
        <v>702</v>
      </c>
      <c r="H136">
        <v>14490</v>
      </c>
      <c r="J136" s="2">
        <f t="shared" si="7"/>
        <v>13330.8</v>
      </c>
      <c r="K136" s="2" t="str">
        <f>VLOOKUP(B136,[2]MW!$B$2:$BA$100,33,0)</f>
        <v>B</v>
      </c>
      <c r="L136" t="s">
        <v>73</v>
      </c>
    </row>
    <row r="137" spans="1:12" x14ac:dyDescent="0.25">
      <c r="A137">
        <f t="shared" si="8"/>
        <v>136</v>
      </c>
      <c r="B137" s="1" t="s">
        <v>277</v>
      </c>
      <c r="C137" s="6">
        <v>8903287040290</v>
      </c>
      <c r="D137" s="7" t="str">
        <f>VLOOKUP(C137,[1]Sheet1!$A$2:$E$1223,2,0)&amp;", "&amp;VLOOKUP(C137,[1]Sheet1!$A$2:$E$1223,3,0)&amp;", "&amp;VLOOKUP(C137,[1]Sheet1!$A$2:$E$1223,5,0)</f>
        <v>NEPTUNE VX16, DW, 62590</v>
      </c>
      <c r="E137" t="s">
        <v>278</v>
      </c>
      <c r="F137" t="s">
        <v>278</v>
      </c>
      <c r="G137" t="s">
        <v>703</v>
      </c>
      <c r="H137">
        <v>62590</v>
      </c>
      <c r="J137" s="2">
        <f>H137-(H137*0.04)</f>
        <v>60086.400000000001</v>
      </c>
      <c r="K137" s="2" t="str">
        <f>VLOOKUP(B137,[2]DW!$B$2:$BA$100,39,0)</f>
        <v>A++</v>
      </c>
      <c r="L137" t="s">
        <v>73</v>
      </c>
    </row>
    <row r="138" spans="1:12" x14ac:dyDescent="0.25">
      <c r="A138">
        <f t="shared" si="8"/>
        <v>137</v>
      </c>
      <c r="B138" s="1" t="s">
        <v>311</v>
      </c>
      <c r="C138" s="6">
        <v>8903287002908</v>
      </c>
      <c r="D138" s="7" t="str">
        <f>VLOOKUP(C138,[1]Sheet1!$A$2:$E$1223,2,0)&amp;", "&amp;VLOOKUP(C138,[1]Sheet1!$A$2:$E$1223,3,0)&amp;", "&amp;VLOOKUP(C138,[1]Sheet1!$A$2:$E$1223,5,0)</f>
        <v>NEPTUNE VX2 PLUS, DW, 62590</v>
      </c>
      <c r="E138" t="s">
        <v>278</v>
      </c>
      <c r="F138" t="s">
        <v>278</v>
      </c>
      <c r="G138" t="s">
        <v>704</v>
      </c>
      <c r="H138">
        <v>62590</v>
      </c>
      <c r="J138" s="2">
        <f t="shared" ref="J138:J139" si="9">H138-(H138*0.04)</f>
        <v>60086.400000000001</v>
      </c>
      <c r="K138" s="2" t="str">
        <f>VLOOKUP(B138,[2]DW!$B$2:$BA$100,39,0)</f>
        <v>A++</v>
      </c>
      <c r="L138" t="s">
        <v>73</v>
      </c>
    </row>
    <row r="139" spans="1:12" x14ac:dyDescent="0.25">
      <c r="A139">
        <f t="shared" si="8"/>
        <v>138</v>
      </c>
      <c r="B139" s="1" t="s">
        <v>312</v>
      </c>
      <c r="C139" s="6">
        <v>8903287002915</v>
      </c>
      <c r="D139" s="7" t="str">
        <f>VLOOKUP(C139,[1]Sheet1!$A$2:$E$1223,2,0)&amp;", "&amp;VLOOKUP(C139,[1]Sheet1!$A$2:$E$1223,3,0)&amp;", "&amp;VLOOKUP(C139,[1]Sheet1!$A$2:$E$1223,5,0)</f>
        <v>NEPTUNE SX2, DW, 65490</v>
      </c>
      <c r="E139" t="s">
        <v>278</v>
      </c>
      <c r="F139" t="s">
        <v>278</v>
      </c>
      <c r="G139" t="s">
        <v>705</v>
      </c>
      <c r="H139">
        <v>65490</v>
      </c>
      <c r="J139" s="2">
        <f t="shared" si="9"/>
        <v>62870.400000000001</v>
      </c>
      <c r="K139" s="2" t="str">
        <f>VLOOKUP(B139,[2]DW!$B$2:$BA$100,39,0)</f>
        <v>A++</v>
      </c>
      <c r="L139" t="s">
        <v>73</v>
      </c>
    </row>
    <row r="140" spans="1:12" x14ac:dyDescent="0.25">
      <c r="A140">
        <f t="shared" si="8"/>
        <v>139</v>
      </c>
      <c r="B140" s="1" t="s">
        <v>313</v>
      </c>
      <c r="C140" s="6">
        <v>8903287002939</v>
      </c>
      <c r="D140" s="7" t="str">
        <f>VLOOKUP(C140,[1]Sheet1!$A$2:$E$1223,2,0)&amp;", "&amp;VLOOKUP(C140,[1]Sheet1!$A$2:$E$1223,3,0)&amp;", "&amp;VLOOKUP(C140,[1]Sheet1!$A$2:$E$1223,5,0)</f>
        <v>NEPTUNE BI2 ( BUILT IN ), KA, 52990</v>
      </c>
      <c r="E140" t="s">
        <v>278</v>
      </c>
      <c r="F140" t="s">
        <v>278</v>
      </c>
      <c r="G140" t="s">
        <v>706</v>
      </c>
      <c r="H140">
        <v>52990</v>
      </c>
      <c r="J140" s="2">
        <f>H140-(H140*0.05)</f>
        <v>50340.5</v>
      </c>
      <c r="K140" s="2" t="str">
        <f>VLOOKUP(B140,[2]DW!$B$2:$BA$100,39,0)</f>
        <v>A+</v>
      </c>
      <c r="L140" t="s">
        <v>73</v>
      </c>
    </row>
    <row r="141" spans="1:12" x14ac:dyDescent="0.25">
      <c r="A141">
        <f t="shared" si="8"/>
        <v>140</v>
      </c>
      <c r="B141" s="1" t="s">
        <v>318</v>
      </c>
      <c r="C141" s="10" t="e">
        <v>#N/A</v>
      </c>
      <c r="D141" s="10"/>
      <c r="E141" t="s">
        <v>319</v>
      </c>
      <c r="F141" t="s">
        <v>321</v>
      </c>
      <c r="G141" t="s">
        <v>707</v>
      </c>
      <c r="H141">
        <v>3620</v>
      </c>
      <c r="J141">
        <f>H141-(H141*0)</f>
        <v>3620</v>
      </c>
      <c r="K141" t="str">
        <f>VLOOKUP(B141,[2]ST!$B$2:$BA$100,20,0)</f>
        <v>C</v>
      </c>
      <c r="L141" t="s">
        <v>73</v>
      </c>
    </row>
    <row r="142" spans="1:12" x14ac:dyDescent="0.25">
      <c r="A142">
        <f t="shared" si="8"/>
        <v>141</v>
      </c>
      <c r="B142" s="1" t="s">
        <v>330</v>
      </c>
      <c r="C142" s="10" t="e">
        <v>#N/A</v>
      </c>
      <c r="D142" s="10"/>
      <c r="E142" t="s">
        <v>319</v>
      </c>
      <c r="F142" t="s">
        <v>321</v>
      </c>
      <c r="G142" t="s">
        <v>708</v>
      </c>
      <c r="H142">
        <v>3150</v>
      </c>
      <c r="J142">
        <f t="shared" ref="J142:J163" si="10">H142-(H142*0)</f>
        <v>3150</v>
      </c>
      <c r="K142" t="str">
        <f>VLOOKUP(B142,[2]ST!$B$2:$BA$100,20,0)</f>
        <v>C</v>
      </c>
      <c r="L142" t="s">
        <v>73</v>
      </c>
    </row>
    <row r="143" spans="1:12" x14ac:dyDescent="0.25">
      <c r="A143">
        <f t="shared" si="8"/>
        <v>142</v>
      </c>
      <c r="B143" s="1" t="s">
        <v>331</v>
      </c>
      <c r="C143" s="10" t="e">
        <v>#N/A</v>
      </c>
      <c r="D143" s="10"/>
      <c r="E143" t="s">
        <v>319</v>
      </c>
      <c r="F143" t="s">
        <v>321</v>
      </c>
      <c r="G143" t="s">
        <v>709</v>
      </c>
      <c r="H143">
        <v>2600</v>
      </c>
      <c r="J143">
        <f t="shared" si="10"/>
        <v>2600</v>
      </c>
      <c r="K143" t="str">
        <f>VLOOKUP(B143,[2]ST!$B$2:$BA$100,20,0)</f>
        <v>C</v>
      </c>
      <c r="L143" t="s">
        <v>73</v>
      </c>
    </row>
    <row r="144" spans="1:12" x14ac:dyDescent="0.25">
      <c r="A144">
        <f t="shared" si="8"/>
        <v>143</v>
      </c>
      <c r="B144" s="1" t="s">
        <v>332</v>
      </c>
      <c r="C144" s="10" t="e">
        <v>#N/A</v>
      </c>
      <c r="D144" s="10"/>
      <c r="E144" t="s">
        <v>319</v>
      </c>
      <c r="F144" t="s">
        <v>321</v>
      </c>
      <c r="G144" t="s">
        <v>710</v>
      </c>
      <c r="H144">
        <v>2500</v>
      </c>
      <c r="J144">
        <f t="shared" si="10"/>
        <v>2500</v>
      </c>
      <c r="K144" t="str">
        <f>VLOOKUP(B144,[2]ST!$B$2:$BA$100,20,0)</f>
        <v>C</v>
      </c>
      <c r="L144" t="s">
        <v>73</v>
      </c>
    </row>
    <row r="145" spans="1:12" x14ac:dyDescent="0.25">
      <c r="A145">
        <f t="shared" si="8"/>
        <v>144</v>
      </c>
      <c r="B145" s="1" t="s">
        <v>333</v>
      </c>
      <c r="C145" s="10" t="e">
        <v>#N/A</v>
      </c>
      <c r="D145" s="10"/>
      <c r="E145" t="s">
        <v>319</v>
      </c>
      <c r="F145" t="s">
        <v>320</v>
      </c>
      <c r="G145" t="s">
        <v>711</v>
      </c>
      <c r="H145">
        <v>6350</v>
      </c>
      <c r="J145">
        <f t="shared" si="10"/>
        <v>6350</v>
      </c>
      <c r="K145" t="str">
        <f>VLOOKUP(B145,[2]ST!$B$2:$BA$100,20,0)</f>
        <v>C</v>
      </c>
      <c r="L145" t="s">
        <v>73</v>
      </c>
    </row>
    <row r="146" spans="1:12" x14ac:dyDescent="0.25">
      <c r="A146">
        <f t="shared" si="8"/>
        <v>145</v>
      </c>
      <c r="B146" s="1" t="s">
        <v>334</v>
      </c>
      <c r="C146" s="10" t="e">
        <v>#N/A</v>
      </c>
      <c r="D146" s="10"/>
      <c r="E146" t="s">
        <v>319</v>
      </c>
      <c r="F146" t="s">
        <v>320</v>
      </c>
      <c r="G146" t="s">
        <v>712</v>
      </c>
      <c r="H146">
        <v>4750</v>
      </c>
      <c r="J146">
        <f t="shared" si="10"/>
        <v>4750</v>
      </c>
      <c r="K146" t="str">
        <f>VLOOKUP(B146,[2]ST!$B$2:$BA$100,20,0)</f>
        <v>C</v>
      </c>
      <c r="L146" t="s">
        <v>73</v>
      </c>
    </row>
    <row r="147" spans="1:12" x14ac:dyDescent="0.25">
      <c r="A147">
        <f t="shared" si="8"/>
        <v>146</v>
      </c>
      <c r="B147" s="1" t="s">
        <v>335</v>
      </c>
      <c r="C147" s="10" t="e">
        <v>#N/A</v>
      </c>
      <c r="D147" s="10"/>
      <c r="E147" t="s">
        <v>319</v>
      </c>
      <c r="F147" t="s">
        <v>320</v>
      </c>
      <c r="G147" t="s">
        <v>713</v>
      </c>
      <c r="H147">
        <v>3500</v>
      </c>
      <c r="J147">
        <f t="shared" si="10"/>
        <v>3500</v>
      </c>
      <c r="K147" t="str">
        <f>VLOOKUP(B147,[2]ST!$B$2:$BA$100,20,0)</f>
        <v>C</v>
      </c>
      <c r="L147" t="s">
        <v>73</v>
      </c>
    </row>
    <row r="148" spans="1:12" x14ac:dyDescent="0.25">
      <c r="A148">
        <f t="shared" si="8"/>
        <v>147</v>
      </c>
      <c r="B148" s="1" t="s">
        <v>336</v>
      </c>
      <c r="C148" s="10" t="e">
        <v>#N/A</v>
      </c>
      <c r="D148" s="10"/>
      <c r="E148" t="s">
        <v>319</v>
      </c>
      <c r="F148" t="s">
        <v>320</v>
      </c>
      <c r="G148" t="s">
        <v>714</v>
      </c>
      <c r="H148">
        <v>3250</v>
      </c>
      <c r="J148">
        <f t="shared" si="10"/>
        <v>3250</v>
      </c>
      <c r="K148" t="str">
        <f>VLOOKUP(B148,[2]ST!$B$2:$BA$100,20,0)</f>
        <v>C</v>
      </c>
      <c r="L148" t="s">
        <v>73</v>
      </c>
    </row>
    <row r="149" spans="1:12" x14ac:dyDescent="0.25">
      <c r="A149">
        <f t="shared" si="8"/>
        <v>148</v>
      </c>
      <c r="B149" s="1" t="s">
        <v>337</v>
      </c>
      <c r="C149" s="10" t="e">
        <v>#N/A</v>
      </c>
      <c r="D149" s="10"/>
      <c r="E149" t="s">
        <v>319</v>
      </c>
      <c r="F149" t="s">
        <v>320</v>
      </c>
      <c r="G149" t="s">
        <v>715</v>
      </c>
      <c r="H149">
        <v>3250</v>
      </c>
      <c r="J149">
        <f t="shared" si="10"/>
        <v>3250</v>
      </c>
      <c r="K149" t="str">
        <f>VLOOKUP(B149,[2]ST!$B$2:$BA$100,20,0)</f>
        <v>C</v>
      </c>
      <c r="L149" t="s">
        <v>73</v>
      </c>
    </row>
    <row r="150" spans="1:12" x14ac:dyDescent="0.25">
      <c r="A150">
        <f t="shared" si="8"/>
        <v>149</v>
      </c>
      <c r="B150" s="1" t="s">
        <v>338</v>
      </c>
      <c r="C150" s="10" t="e">
        <v>#N/A</v>
      </c>
      <c r="D150" s="10"/>
      <c r="E150" t="s">
        <v>319</v>
      </c>
      <c r="F150" t="s">
        <v>339</v>
      </c>
      <c r="G150" t="s">
        <v>716</v>
      </c>
      <c r="H150">
        <v>2930</v>
      </c>
      <c r="J150">
        <f t="shared" si="10"/>
        <v>2930</v>
      </c>
      <c r="K150" t="str">
        <f>VLOOKUP(B150,[2]ST!$B$2:$BA$100,20,0)</f>
        <v>C</v>
      </c>
      <c r="L150" t="s">
        <v>73</v>
      </c>
    </row>
    <row r="151" spans="1:12" x14ac:dyDescent="0.25">
      <c r="A151">
        <f t="shared" si="8"/>
        <v>150</v>
      </c>
      <c r="B151" s="1" t="s">
        <v>340</v>
      </c>
      <c r="C151" s="10" t="e">
        <v>#N/A</v>
      </c>
      <c r="D151" s="10"/>
      <c r="E151" t="s">
        <v>319</v>
      </c>
      <c r="F151" t="s">
        <v>339</v>
      </c>
      <c r="G151" t="s">
        <v>717</v>
      </c>
      <c r="H151">
        <v>2750</v>
      </c>
      <c r="J151">
        <f t="shared" si="10"/>
        <v>2750</v>
      </c>
      <c r="K151" t="str">
        <f>VLOOKUP(B151,[2]ST!$B$2:$BA$100,20,0)</f>
        <v>C</v>
      </c>
      <c r="L151" t="s">
        <v>73</v>
      </c>
    </row>
    <row r="152" spans="1:12" x14ac:dyDescent="0.25">
      <c r="A152">
        <f t="shared" si="8"/>
        <v>151</v>
      </c>
      <c r="B152" s="1" t="s">
        <v>341</v>
      </c>
      <c r="C152" s="10" t="e">
        <v>#N/A</v>
      </c>
      <c r="D152" s="10"/>
      <c r="E152" t="s">
        <v>319</v>
      </c>
      <c r="F152" t="s">
        <v>339</v>
      </c>
      <c r="G152" t="s">
        <v>718</v>
      </c>
      <c r="H152">
        <v>2750</v>
      </c>
      <c r="J152">
        <f t="shared" si="10"/>
        <v>2750</v>
      </c>
      <c r="K152" t="str">
        <f>VLOOKUP(B152,[2]ST!$B$2:$BA$100,20,0)</f>
        <v>C</v>
      </c>
      <c r="L152" t="s">
        <v>73</v>
      </c>
    </row>
    <row r="153" spans="1:12" x14ac:dyDescent="0.25">
      <c r="A153">
        <f t="shared" si="8"/>
        <v>152</v>
      </c>
      <c r="B153" s="1" t="s">
        <v>342</v>
      </c>
      <c r="C153" s="10" t="e">
        <v>#N/A</v>
      </c>
      <c r="D153" s="10"/>
      <c r="E153" t="s">
        <v>319</v>
      </c>
      <c r="F153" t="s">
        <v>343</v>
      </c>
      <c r="G153" t="s">
        <v>719</v>
      </c>
      <c r="H153">
        <v>7200</v>
      </c>
      <c r="J153">
        <f t="shared" si="10"/>
        <v>7200</v>
      </c>
      <c r="K153" t="str">
        <f>VLOOKUP(B153,[2]ST!$B$2:$BA$100,20,0)</f>
        <v>C</v>
      </c>
      <c r="L153" t="s">
        <v>73</v>
      </c>
    </row>
    <row r="154" spans="1:12" x14ac:dyDescent="0.25">
      <c r="A154">
        <f t="shared" si="8"/>
        <v>153</v>
      </c>
      <c r="B154" s="1" t="s">
        <v>344</v>
      </c>
      <c r="C154" s="10" t="e">
        <v>#N/A</v>
      </c>
      <c r="D154" s="10"/>
      <c r="E154" t="s">
        <v>319</v>
      </c>
      <c r="F154" t="s">
        <v>343</v>
      </c>
      <c r="G154" t="s">
        <v>720</v>
      </c>
      <c r="H154">
        <v>21500</v>
      </c>
      <c r="J154">
        <f t="shared" si="10"/>
        <v>21500</v>
      </c>
      <c r="K154" t="str">
        <f>VLOOKUP(B154,[2]ST!$B$2:$BA$100,20,0)</f>
        <v>A++</v>
      </c>
      <c r="L154" t="s">
        <v>73</v>
      </c>
    </row>
    <row r="155" spans="1:12" x14ac:dyDescent="0.25">
      <c r="A155">
        <f t="shared" si="8"/>
        <v>154</v>
      </c>
      <c r="B155" s="1" t="s">
        <v>345</v>
      </c>
      <c r="C155" s="10" t="e">
        <v>#N/A</v>
      </c>
      <c r="D155" s="10"/>
      <c r="E155" t="s">
        <v>319</v>
      </c>
      <c r="F155" t="s">
        <v>343</v>
      </c>
      <c r="G155" t="s">
        <v>721</v>
      </c>
      <c r="H155">
        <v>13800</v>
      </c>
      <c r="J155">
        <f t="shared" si="10"/>
        <v>13800</v>
      </c>
      <c r="K155" t="str">
        <f>VLOOKUP(B155,[2]ST!$B$2:$BA$100,20,0)</f>
        <v>C</v>
      </c>
      <c r="L155" t="s">
        <v>73</v>
      </c>
    </row>
    <row r="156" spans="1:12" x14ac:dyDescent="0.25">
      <c r="A156">
        <f t="shared" si="8"/>
        <v>155</v>
      </c>
      <c r="B156" s="1" t="s">
        <v>346</v>
      </c>
      <c r="C156" s="10" t="e">
        <v>#N/A</v>
      </c>
      <c r="D156" s="10"/>
      <c r="E156" t="s">
        <v>319</v>
      </c>
      <c r="F156" t="s">
        <v>339</v>
      </c>
      <c r="G156" t="s">
        <v>722</v>
      </c>
      <c r="H156">
        <v>10800</v>
      </c>
      <c r="J156">
        <f t="shared" si="10"/>
        <v>10800</v>
      </c>
      <c r="K156" t="str">
        <f>VLOOKUP(B156,[2]ST!$B$2:$BA$100,20,0)</f>
        <v>C</v>
      </c>
      <c r="L156" t="s">
        <v>73</v>
      </c>
    </row>
    <row r="157" spans="1:12" x14ac:dyDescent="0.25">
      <c r="A157">
        <f t="shared" si="8"/>
        <v>156</v>
      </c>
      <c r="B157" s="1" t="s">
        <v>347</v>
      </c>
      <c r="C157" s="10" t="e">
        <v>#N/A</v>
      </c>
      <c r="D157" s="10"/>
      <c r="E157" t="s">
        <v>319</v>
      </c>
      <c r="F157" t="s">
        <v>339</v>
      </c>
      <c r="G157" t="s">
        <v>723</v>
      </c>
      <c r="H157">
        <v>6350</v>
      </c>
      <c r="J157">
        <f t="shared" si="10"/>
        <v>6350</v>
      </c>
      <c r="K157" t="str">
        <f>VLOOKUP(B157,[2]ST!$B$2:$BA$100,20,0)</f>
        <v>C</v>
      </c>
      <c r="L157" t="s">
        <v>73</v>
      </c>
    </row>
    <row r="158" spans="1:12" x14ac:dyDescent="0.25">
      <c r="A158">
        <f t="shared" si="8"/>
        <v>157</v>
      </c>
      <c r="B158" s="1" t="s">
        <v>348</v>
      </c>
      <c r="C158" s="10" t="e">
        <v>#N/A</v>
      </c>
      <c r="D158" s="10"/>
      <c r="E158" t="s">
        <v>319</v>
      </c>
      <c r="F158" t="s">
        <v>339</v>
      </c>
      <c r="G158" t="s">
        <v>724</v>
      </c>
      <c r="H158">
        <v>4750</v>
      </c>
      <c r="J158">
        <f t="shared" si="10"/>
        <v>4750</v>
      </c>
      <c r="K158" t="str">
        <f>VLOOKUP(B158,[2]ST!$B$2:$BA$100,20,0)</f>
        <v>C</v>
      </c>
      <c r="L158" t="s">
        <v>73</v>
      </c>
    </row>
    <row r="159" spans="1:12" x14ac:dyDescent="0.25">
      <c r="A159">
        <f t="shared" si="8"/>
        <v>158</v>
      </c>
      <c r="B159" s="1" t="s">
        <v>349</v>
      </c>
      <c r="C159" s="10" t="e">
        <v>#N/A</v>
      </c>
      <c r="D159" s="10"/>
      <c r="E159" t="s">
        <v>319</v>
      </c>
      <c r="F159" t="s">
        <v>339</v>
      </c>
      <c r="G159" t="s">
        <v>725</v>
      </c>
      <c r="H159">
        <v>3600</v>
      </c>
      <c r="J159">
        <f t="shared" si="10"/>
        <v>3600</v>
      </c>
      <c r="K159" t="str">
        <f>VLOOKUP(B159,[2]ST!$B$2:$BA$100,20,0)</f>
        <v>C</v>
      </c>
      <c r="L159" t="s">
        <v>73</v>
      </c>
    </row>
    <row r="160" spans="1:12" x14ac:dyDescent="0.25">
      <c r="A160">
        <f t="shared" si="8"/>
        <v>159</v>
      </c>
      <c r="B160" s="1" t="s">
        <v>350</v>
      </c>
      <c r="C160" s="10" t="e">
        <v>#N/A</v>
      </c>
      <c r="D160" s="10"/>
      <c r="E160" t="s">
        <v>319</v>
      </c>
      <c r="F160" t="s">
        <v>339</v>
      </c>
      <c r="G160" t="s">
        <v>726</v>
      </c>
      <c r="H160">
        <v>9700</v>
      </c>
      <c r="J160">
        <f t="shared" si="10"/>
        <v>9700</v>
      </c>
      <c r="K160" t="str">
        <f>VLOOKUP(B160,[2]ST!$B$2:$BA$100,20,0)</f>
        <v>C</v>
      </c>
      <c r="L160" t="s">
        <v>73</v>
      </c>
    </row>
    <row r="161" spans="1:12" x14ac:dyDescent="0.25">
      <c r="A161">
        <f t="shared" si="8"/>
        <v>160</v>
      </c>
      <c r="B161" s="1" t="s">
        <v>351</v>
      </c>
      <c r="C161" s="10" t="e">
        <v>#N/A</v>
      </c>
      <c r="D161" s="10"/>
      <c r="E161" t="s">
        <v>319</v>
      </c>
      <c r="F161" t="s">
        <v>339</v>
      </c>
      <c r="G161" t="s">
        <v>727</v>
      </c>
      <c r="H161">
        <v>5650</v>
      </c>
      <c r="J161">
        <f t="shared" si="10"/>
        <v>5650</v>
      </c>
      <c r="K161" t="str">
        <f>VLOOKUP(B161,[2]ST!$B$2:$BA$100,20,0)</f>
        <v>C</v>
      </c>
      <c r="L161" t="s">
        <v>73</v>
      </c>
    </row>
    <row r="162" spans="1:12" x14ac:dyDescent="0.25">
      <c r="A162">
        <f t="shared" si="8"/>
        <v>161</v>
      </c>
      <c r="B162" s="1" t="s">
        <v>352</v>
      </c>
      <c r="C162" s="10" t="e">
        <v>#N/A</v>
      </c>
      <c r="D162" s="10"/>
      <c r="E162" t="s">
        <v>319</v>
      </c>
      <c r="F162" t="s">
        <v>339</v>
      </c>
      <c r="G162" t="s">
        <v>728</v>
      </c>
      <c r="H162">
        <v>4250</v>
      </c>
      <c r="J162">
        <f t="shared" si="10"/>
        <v>4250</v>
      </c>
      <c r="K162" t="str">
        <f>VLOOKUP(B162,[2]ST!$B$2:$BA$100,20,0)</f>
        <v>C</v>
      </c>
      <c r="L162" t="s">
        <v>73</v>
      </c>
    </row>
    <row r="163" spans="1:12" x14ac:dyDescent="0.25">
      <c r="A163">
        <f t="shared" si="8"/>
        <v>162</v>
      </c>
      <c r="B163" s="1" t="s">
        <v>353</v>
      </c>
      <c r="C163" s="10" t="e">
        <v>#N/A</v>
      </c>
      <c r="D163" s="10"/>
      <c r="E163" t="s">
        <v>319</v>
      </c>
      <c r="F163" t="s">
        <v>339</v>
      </c>
      <c r="G163" t="s">
        <v>729</v>
      </c>
      <c r="H163">
        <v>3100</v>
      </c>
      <c r="J163">
        <f t="shared" si="10"/>
        <v>3100</v>
      </c>
      <c r="K163" t="str">
        <f>VLOOKUP(B163,[2]ST!$B$2:$BA$100,20,0)</f>
        <v>C</v>
      </c>
      <c r="L163" t="s">
        <v>73</v>
      </c>
    </row>
    <row r="164" spans="1:12" x14ac:dyDescent="0.25">
      <c r="A164">
        <f t="shared" si="8"/>
        <v>163</v>
      </c>
      <c r="B164" s="1" t="s">
        <v>408</v>
      </c>
      <c r="C164" s="10" t="e">
        <v>#N/A</v>
      </c>
      <c r="D164" s="10" t="e">
        <f>VLOOKUP(C164,[1]Sheet1!$A$2:$E$1223,2,0)&amp;", "&amp;VLOOKUP(C164,[1]Sheet1!$A$2:$E$1223,3,0)&amp;", "&amp;VLOOKUP(C164,[1]Sheet1!$A$2:$E$1223,5,0)</f>
        <v>#N/A</v>
      </c>
      <c r="E164" t="s">
        <v>354</v>
      </c>
      <c r="F164" t="s">
        <v>354</v>
      </c>
      <c r="G164" t="s">
        <v>730</v>
      </c>
      <c r="H164">
        <v>62990</v>
      </c>
      <c r="I164" t="e">
        <f>VLOOKUP(C164,[1]Sheet1!$A$2:$E$20000,5,0)</f>
        <v>#N/A</v>
      </c>
      <c r="J164" t="str">
        <f>VLOOKUP(B164,[2]AC!$B$2:$BA$100,44,0)</f>
        <v>A</v>
      </c>
      <c r="K164" s="2">
        <f>H164-(H164*0.18)</f>
        <v>51651.8</v>
      </c>
      <c r="L164" t="s">
        <v>73</v>
      </c>
    </row>
    <row r="165" spans="1:12" x14ac:dyDescent="0.25">
      <c r="A165">
        <f t="shared" si="8"/>
        <v>164</v>
      </c>
      <c r="B165" s="1" t="s">
        <v>409</v>
      </c>
      <c r="C165" s="10">
        <v>8903287201127</v>
      </c>
      <c r="D165" s="10" t="str">
        <f>VLOOKUP(C165,[1]Sheet1!$A$2:$E$1223,2,0)&amp;", "&amp;VLOOKUP(C165,[1]Sheet1!$A$2:$E$1223,3,0)&amp;", "&amp;VLOOKUP(C165,[1]Sheet1!$A$2:$E$1223,5,0)</f>
        <v>SPLIT AC 2.0 T CI2433A323G3-IDU, ACMIU, 62990</v>
      </c>
      <c r="E165" t="s">
        <v>354</v>
      </c>
      <c r="F165" t="s">
        <v>354</v>
      </c>
      <c r="G165" t="s">
        <v>731</v>
      </c>
      <c r="H165">
        <v>62990</v>
      </c>
      <c r="I165">
        <f>VLOOKUP(C165,[1]Sheet1!$A$2:$E$20000,5,0)</f>
        <v>62990</v>
      </c>
      <c r="J165" t="str">
        <f>VLOOKUP(B165,[2]AC!$B$2:$BA$100,44,0)</f>
        <v>A</v>
      </c>
      <c r="K165" s="2">
        <f>H165-(H165*0.15)</f>
        <v>53541.5</v>
      </c>
      <c r="L165" t="s">
        <v>73</v>
      </c>
    </row>
    <row r="166" spans="1:12" x14ac:dyDescent="0.25">
      <c r="A166">
        <f t="shared" si="8"/>
        <v>165</v>
      </c>
      <c r="B166" s="1" t="s">
        <v>410</v>
      </c>
      <c r="C166" s="10">
        <v>8903287206719</v>
      </c>
      <c r="D166" s="10" t="str">
        <f>VLOOKUP(C166,[1]Sheet1!$A$2:$E$1223,2,0)&amp;", "&amp;VLOOKUP(C166,[1]Sheet1!$A$2:$E$1223,3,0)&amp;", "&amp;VLOOKUP(C166,[1]Sheet1!$A$2:$E$1223,5,0)</f>
        <v>SPLIT AC 1.5T CI1852D223GN1-IDU, ACMIU, 71990</v>
      </c>
      <c r="E166" t="s">
        <v>354</v>
      </c>
      <c r="F166" t="s">
        <v>354</v>
      </c>
      <c r="G166" t="s">
        <v>732</v>
      </c>
      <c r="H166">
        <v>71990</v>
      </c>
      <c r="I166">
        <f>VLOOKUP(C166,[1]Sheet1!$A$2:$E$20000,5,0)</f>
        <v>71990</v>
      </c>
      <c r="J166" t="str">
        <f>VLOOKUP(B166,[2]AC!$B$2:$BA$100,44,0)</f>
        <v>A+</v>
      </c>
      <c r="K166" s="2">
        <f t="shared" ref="K166:K194" si="11">H166-(H166*0.4)</f>
        <v>43194</v>
      </c>
      <c r="L166" t="s">
        <v>73</v>
      </c>
    </row>
    <row r="167" spans="1:12" x14ac:dyDescent="0.25">
      <c r="A167">
        <f t="shared" si="8"/>
        <v>166</v>
      </c>
      <c r="B167" s="1" t="s">
        <v>411</v>
      </c>
      <c r="C167" s="10" t="e">
        <v>#N/A</v>
      </c>
      <c r="D167" s="10" t="e">
        <f>VLOOKUP(C167,[1]Sheet1!$A$2:$E$1223,2,0)&amp;", "&amp;VLOOKUP(C167,[1]Sheet1!$A$2:$E$1223,3,0)&amp;", "&amp;VLOOKUP(C167,[1]Sheet1!$A$2:$E$1223,5,0)</f>
        <v>#N/A</v>
      </c>
      <c r="E167" t="s">
        <v>354</v>
      </c>
      <c r="F167" t="s">
        <v>354</v>
      </c>
      <c r="G167" t="s">
        <v>733</v>
      </c>
      <c r="H167">
        <v>63490</v>
      </c>
      <c r="I167" t="e">
        <f>VLOOKUP(C167,[1]Sheet1!$A$2:$E$20000,5,0)</f>
        <v>#N/A</v>
      </c>
      <c r="J167" t="str">
        <f>VLOOKUP(B167,[2]AC!$B$2:$BA$100,44,0)</f>
        <v>A</v>
      </c>
      <c r="K167" s="2">
        <f>H167-(H167*0.18)</f>
        <v>52061.8</v>
      </c>
      <c r="L167" t="s">
        <v>73</v>
      </c>
    </row>
    <row r="168" spans="1:12" x14ac:dyDescent="0.25">
      <c r="A168">
        <f t="shared" si="8"/>
        <v>167</v>
      </c>
      <c r="B168" s="1" t="s">
        <v>412</v>
      </c>
      <c r="C168" s="6">
        <v>8903287207037</v>
      </c>
      <c r="D168" s="10" t="str">
        <f>VLOOKUP(C168,[1]Sheet1!$A$2:$E$1223,2,0)&amp;", "&amp;VLOOKUP(C168,[1]Sheet1!$A$2:$E$1223,3,0)&amp;", "&amp;VLOOKUP(C168,[1]Sheet1!$A$2:$E$1223,5,0)</f>
        <v>SPLIT AC 1.5 T 5S CI1853E223GN1  - IDU, ACMIU, 22490</v>
      </c>
      <c r="E168" t="s">
        <v>354</v>
      </c>
      <c r="F168" t="s">
        <v>354</v>
      </c>
      <c r="G168" t="s">
        <v>734</v>
      </c>
      <c r="H168">
        <v>74990</v>
      </c>
      <c r="I168">
        <f>VLOOKUP(C168,[1]Sheet1!$A$2:$E$20000,5,0)</f>
        <v>22490</v>
      </c>
      <c r="J168" t="str">
        <f>VLOOKUP(B168,[2]AC!$B$2:$BA$100,44,0)</f>
        <v>A+</v>
      </c>
      <c r="K168" s="2">
        <f t="shared" si="11"/>
        <v>44994</v>
      </c>
      <c r="L168" t="s">
        <v>73</v>
      </c>
    </row>
    <row r="169" spans="1:12" x14ac:dyDescent="0.25">
      <c r="A169">
        <f t="shared" si="8"/>
        <v>168</v>
      </c>
      <c r="B169" s="1" t="s">
        <v>413</v>
      </c>
      <c r="C169" s="10">
        <v>8903287200984</v>
      </c>
      <c r="D169" s="10" t="str">
        <f>VLOOKUP(C169,[1]Sheet1!$A$2:$E$1223,2,0)&amp;", "&amp;VLOOKUP(C169,[1]Sheet1!$A$2:$E$1223,3,0)&amp;", "&amp;VLOOKUP(C169,[1]Sheet1!$A$2:$E$1223,5,0)</f>
        <v>SPLIT AC 2.0 T CI2432D323G3-IDU, ACMIU, 62990</v>
      </c>
      <c r="E169" t="s">
        <v>354</v>
      </c>
      <c r="F169" t="s">
        <v>354</v>
      </c>
      <c r="G169" t="s">
        <v>735</v>
      </c>
      <c r="H169">
        <v>62990</v>
      </c>
      <c r="I169">
        <f>VLOOKUP(C169,[1]Sheet1!$A$2:$E$20000,5,0)</f>
        <v>62990</v>
      </c>
      <c r="J169" t="str">
        <f>VLOOKUP(B169,[2]AC!$B$2:$BA$100,44,0)</f>
        <v>A</v>
      </c>
      <c r="K169" s="2">
        <f>H169-(H169*0.15)</f>
        <v>53541.5</v>
      </c>
      <c r="L169" t="s">
        <v>73</v>
      </c>
    </row>
    <row r="170" spans="1:12" x14ac:dyDescent="0.25">
      <c r="A170">
        <f t="shared" si="8"/>
        <v>169</v>
      </c>
      <c r="B170" s="1" t="s">
        <v>414</v>
      </c>
      <c r="C170" s="10">
        <v>8903287201929</v>
      </c>
      <c r="D170" s="10" t="str">
        <f>VLOOKUP(C170,[1]Sheet1!$A$2:$E$1223,2,0)&amp;", "&amp;VLOOKUP(C170,[1]Sheet1!$A$2:$E$1223,3,0)&amp;", "&amp;VLOOKUP(C170,[1]Sheet1!$A$2:$E$1223,5,0)</f>
        <v>SPLIT AC 2.0 T CI2431G323G3-IDU, ACMIU, 63490</v>
      </c>
      <c r="E170" t="s">
        <v>354</v>
      </c>
      <c r="F170" t="s">
        <v>354</v>
      </c>
      <c r="G170" t="s">
        <v>736</v>
      </c>
      <c r="H170">
        <v>63490</v>
      </c>
      <c r="I170">
        <f>VLOOKUP(C170,[1]Sheet1!$A$2:$E$20000,5,0)</f>
        <v>63490</v>
      </c>
      <c r="J170" t="str">
        <f>VLOOKUP(B170,[2]AC!$B$2:$BA$100,44,0)</f>
        <v>A</v>
      </c>
      <c r="K170" s="2">
        <f>H170-(H170*0.15)</f>
        <v>53966.5</v>
      </c>
      <c r="L170" t="s">
        <v>73</v>
      </c>
    </row>
    <row r="171" spans="1:12" x14ac:dyDescent="0.25">
      <c r="A171">
        <f t="shared" si="8"/>
        <v>170</v>
      </c>
      <c r="B171" s="1" t="s">
        <v>415</v>
      </c>
      <c r="C171" s="6">
        <v>8903287207488</v>
      </c>
      <c r="D171" s="10" t="str">
        <f>VLOOKUP(C171,[1]Sheet1!$A$2:$E$1223,2,0)&amp;", "&amp;VLOOKUP(C171,[1]Sheet1!$A$2:$E$1223,3,0)&amp;", "&amp;VLOOKUP(C171,[1]Sheet1!$A$2:$E$1223,5,0)</f>
        <v>SPLIT AC 1.0 T CI1332A113GN1 IDU, ACMIU, 15890</v>
      </c>
      <c r="E171" t="s">
        <v>354</v>
      </c>
      <c r="F171" t="s">
        <v>354</v>
      </c>
      <c r="G171" t="s">
        <v>737</v>
      </c>
      <c r="H171">
        <v>52990</v>
      </c>
      <c r="I171">
        <f>VLOOKUP(C171,[1]Sheet1!$A$2:$E$20000,5,0)</f>
        <v>15890</v>
      </c>
      <c r="J171" t="str">
        <f>VLOOKUP(B171,[2]AC!$B$2:$BA$100,44,0)</f>
        <v>C</v>
      </c>
      <c r="K171" s="2">
        <f t="shared" si="11"/>
        <v>31794</v>
      </c>
      <c r="L171" t="s">
        <v>73</v>
      </c>
    </row>
    <row r="172" spans="1:12" x14ac:dyDescent="0.25">
      <c r="A172">
        <f t="shared" si="8"/>
        <v>171</v>
      </c>
      <c r="B172" s="1" t="s">
        <v>416</v>
      </c>
      <c r="C172" s="6">
        <v>8903287207761</v>
      </c>
      <c r="D172" s="10" t="str">
        <f>VLOOKUP(C172,[1]Sheet1!$A$2:$E$1223,2,0)&amp;", "&amp;VLOOKUP(C172,[1]Sheet1!$A$2:$E$1223,3,0)&amp;", "&amp;VLOOKUP(C172,[1]Sheet1!$A$2:$E$1223,5,0)</f>
        <v>SPLIT AC 2.0 T 3S CI2433A323G4  - IDU, ACMIU, 24890</v>
      </c>
      <c r="E172" t="s">
        <v>354</v>
      </c>
      <c r="F172" t="s">
        <v>354</v>
      </c>
      <c r="G172" t="s">
        <v>738</v>
      </c>
      <c r="H172">
        <v>82990</v>
      </c>
      <c r="I172">
        <f>VLOOKUP(C172,[1]Sheet1!$A$2:$E$20000,5,0)</f>
        <v>24890</v>
      </c>
      <c r="J172" t="str">
        <f>VLOOKUP(B172,[2]AC!$B$2:$BA$100,44,0)</f>
        <v>A++</v>
      </c>
      <c r="K172" s="2">
        <f t="shared" si="11"/>
        <v>49794</v>
      </c>
      <c r="L172" t="s">
        <v>73</v>
      </c>
    </row>
    <row r="173" spans="1:12" x14ac:dyDescent="0.25">
      <c r="A173">
        <f t="shared" si="8"/>
        <v>172</v>
      </c>
      <c r="B173" s="1" t="s">
        <v>417</v>
      </c>
      <c r="C173" s="6">
        <v>8903287207662</v>
      </c>
      <c r="D173" s="10" t="str">
        <f>VLOOKUP(C173,[1]Sheet1!$A$2:$E$1223,2,0)&amp;", "&amp;VLOOKUP(C173,[1]Sheet1!$A$2:$E$1223,3,0)&amp;", "&amp;VLOOKUP(C173,[1]Sheet1!$A$2:$E$1223,5,0)</f>
        <v>SPLIT AC 2.0 T 3S CI2432D323G4  - IDU, ACMIU, 23990</v>
      </c>
      <c r="E173" t="s">
        <v>354</v>
      </c>
      <c r="F173" t="s">
        <v>354</v>
      </c>
      <c r="G173" t="s">
        <v>739</v>
      </c>
      <c r="H173">
        <v>79990</v>
      </c>
      <c r="I173">
        <f>VLOOKUP(C173,[1]Sheet1!$A$2:$E$20000,5,0)</f>
        <v>23990</v>
      </c>
      <c r="J173" t="str">
        <f>VLOOKUP(B173,[2]AC!$B$2:$BA$100,44,0)</f>
        <v>A++</v>
      </c>
      <c r="K173" s="2">
        <f t="shared" si="11"/>
        <v>47994</v>
      </c>
      <c r="L173" t="s">
        <v>73</v>
      </c>
    </row>
    <row r="174" spans="1:12" x14ac:dyDescent="0.25">
      <c r="A174">
        <f t="shared" si="8"/>
        <v>173</v>
      </c>
      <c r="B174" s="1" t="s">
        <v>418</v>
      </c>
      <c r="C174" s="6">
        <v>8903287207624</v>
      </c>
      <c r="D174" s="10" t="str">
        <f>VLOOKUP(C174,[1]Sheet1!$A$2:$E$1223,2,0)&amp;", "&amp;VLOOKUP(C174,[1]Sheet1!$A$2:$E$1223,3,0)&amp;", "&amp;VLOOKUP(C174,[1]Sheet1!$A$2:$E$1223,5,0)</f>
        <v>SPLIT AC 2.0 T 3S CI2431G323G4  - IDU, ACMIU, 24140</v>
      </c>
      <c r="E174" t="s">
        <v>354</v>
      </c>
      <c r="F174" t="s">
        <v>354</v>
      </c>
      <c r="G174" t="s">
        <v>740</v>
      </c>
      <c r="H174">
        <v>80490</v>
      </c>
      <c r="I174">
        <f>VLOOKUP(C174,[1]Sheet1!$A$2:$E$20000,5,0)</f>
        <v>24140</v>
      </c>
      <c r="J174" t="str">
        <f>VLOOKUP(B174,[2]AC!$B$2:$BA$100,44,0)</f>
        <v>A++</v>
      </c>
      <c r="K174" s="2">
        <f t="shared" si="11"/>
        <v>48294</v>
      </c>
      <c r="L174" t="s">
        <v>73</v>
      </c>
    </row>
    <row r="175" spans="1:12" x14ac:dyDescent="0.25">
      <c r="A175">
        <f t="shared" si="8"/>
        <v>174</v>
      </c>
      <c r="B175" s="1" t="s">
        <v>419</v>
      </c>
      <c r="C175" s="6">
        <v>8903287207723</v>
      </c>
      <c r="D175" s="10" t="str">
        <f>VLOOKUP(C175,[1]Sheet1!$A$2:$E$1223,2,0)&amp;", "&amp;VLOOKUP(C175,[1]Sheet1!$A$2:$E$1223,3,0)&amp;", "&amp;VLOOKUP(C175,[1]Sheet1!$A$2:$E$1223,5,0)</f>
        <v>SPLIT AC 2.0 T 3S CI2433F323G4  - IDU, ACMIU, 25040</v>
      </c>
      <c r="E175" t="s">
        <v>354</v>
      </c>
      <c r="F175" t="s">
        <v>354</v>
      </c>
      <c r="G175" t="s">
        <v>741</v>
      </c>
      <c r="H175">
        <v>83490</v>
      </c>
      <c r="I175">
        <f>VLOOKUP(C175,[1]Sheet1!$A$2:$E$20000,5,0)</f>
        <v>25040</v>
      </c>
      <c r="J175" t="str">
        <f>VLOOKUP(B175,[2]AC!$B$2:$BA$100,44,0)</f>
        <v>A++</v>
      </c>
      <c r="K175" s="2">
        <f t="shared" si="11"/>
        <v>50094</v>
      </c>
      <c r="L175" t="s">
        <v>73</v>
      </c>
    </row>
    <row r="176" spans="1:12" x14ac:dyDescent="0.25">
      <c r="A176">
        <f t="shared" si="8"/>
        <v>175</v>
      </c>
      <c r="B176" s="1" t="s">
        <v>420</v>
      </c>
      <c r="C176" s="6">
        <v>8903287207587</v>
      </c>
      <c r="D176" s="10" t="str">
        <f>VLOOKUP(C176,[1]Sheet1!$A$2:$E$1223,2,0)&amp;", "&amp;VLOOKUP(C176,[1]Sheet1!$A$2:$E$1223,3,0)&amp;", "&amp;VLOOKUP(C176,[1]Sheet1!$A$2:$E$1223,5,0)</f>
        <v>SPLIT AC 1.0 T 5S CI1451G213GN1  - IDU, ACMIU, 19040</v>
      </c>
      <c r="E176" t="s">
        <v>354</v>
      </c>
      <c r="F176" t="s">
        <v>354</v>
      </c>
      <c r="G176" t="s">
        <v>742</v>
      </c>
      <c r="H176">
        <v>63490</v>
      </c>
      <c r="I176">
        <f>VLOOKUP(C176,[1]Sheet1!$A$2:$E$20000,5,0)</f>
        <v>19040</v>
      </c>
      <c r="J176" t="str">
        <f>VLOOKUP(B176,[2]AC!$B$2:$BA$100,44,0)</f>
        <v>A</v>
      </c>
      <c r="K176" s="2">
        <f t="shared" si="11"/>
        <v>38094</v>
      </c>
      <c r="L176" t="s">
        <v>73</v>
      </c>
    </row>
    <row r="177" spans="1:12" x14ac:dyDescent="0.25">
      <c r="A177">
        <f t="shared" si="8"/>
        <v>176</v>
      </c>
      <c r="B177" s="1" t="s">
        <v>421</v>
      </c>
      <c r="C177" s="6">
        <v>8903287207563</v>
      </c>
      <c r="D177" s="10" t="str">
        <f>VLOOKUP(C177,[1]Sheet1!$A$2:$E$1223,2,0)&amp;", "&amp;VLOOKUP(C177,[1]Sheet1!$A$2:$E$1223,3,0)&amp;", "&amp;VLOOKUP(C177,[1]Sheet1!$A$2:$E$1223,5,0)</f>
        <v>SPLIT AC 1.0 T 5S CI1453F213GN1  - IDU, ACMOU, 19940</v>
      </c>
      <c r="E177" t="s">
        <v>354</v>
      </c>
      <c r="F177" t="s">
        <v>354</v>
      </c>
      <c r="G177" t="s">
        <v>743</v>
      </c>
      <c r="H177">
        <v>66490</v>
      </c>
      <c r="I177">
        <f>VLOOKUP(C177,[1]Sheet1!$A$2:$E$20000,5,0)</f>
        <v>19940</v>
      </c>
      <c r="J177" t="str">
        <f>VLOOKUP(B177,[2]AC!$B$2:$BA$100,44,0)</f>
        <v>A</v>
      </c>
      <c r="K177" s="2">
        <f t="shared" si="11"/>
        <v>39894</v>
      </c>
      <c r="L177" t="s">
        <v>73</v>
      </c>
    </row>
    <row r="178" spans="1:12" x14ac:dyDescent="0.25">
      <c r="A178">
        <f t="shared" si="8"/>
        <v>177</v>
      </c>
      <c r="B178" s="1" t="s">
        <v>422</v>
      </c>
      <c r="C178" s="10">
        <v>8903287206818</v>
      </c>
      <c r="D178" s="10" t="str">
        <f>VLOOKUP(C178,[1]Sheet1!$A$2:$E$1223,2,0)&amp;", "&amp;VLOOKUP(C178,[1]Sheet1!$A$2:$E$1223,3,0)&amp;", "&amp;VLOOKUP(C178,[1]Sheet1!$A$2:$E$1223,5,0)</f>
        <v>SPLIT AC 1.5 T HI1831G223GM1 IDU, ACMIU, 72990</v>
      </c>
      <c r="E178" t="s">
        <v>354</v>
      </c>
      <c r="F178" t="s">
        <v>354</v>
      </c>
      <c r="G178" t="s">
        <v>744</v>
      </c>
      <c r="H178">
        <v>72990</v>
      </c>
      <c r="I178">
        <f>VLOOKUP(C178,[1]Sheet1!$A$2:$E$20000,5,0)</f>
        <v>72990</v>
      </c>
      <c r="J178" t="str">
        <f>VLOOKUP(B178,[2]AC!$B$2:$BA$100,44,0)</f>
        <v>A+</v>
      </c>
      <c r="K178" s="2">
        <f t="shared" si="11"/>
        <v>43794</v>
      </c>
      <c r="L178" t="s">
        <v>73</v>
      </c>
    </row>
    <row r="179" spans="1:12" x14ac:dyDescent="0.25">
      <c r="A179">
        <f t="shared" si="8"/>
        <v>178</v>
      </c>
      <c r="B179" s="1" t="s">
        <v>423</v>
      </c>
      <c r="C179" s="6">
        <v>8903287207013</v>
      </c>
      <c r="D179" s="10" t="str">
        <f>VLOOKUP(C179,[1]Sheet1!$A$2:$E$1223,2,0)&amp;", "&amp;VLOOKUP(C179,[1]Sheet1!$A$2:$E$1223,3,0)&amp;", "&amp;VLOOKUP(C179,[1]Sheet1!$A$2:$E$1223,5,0)</f>
        <v>SPLIT AC 1.5 T 5S CI2052A323GN1  - IDU, ACMIU, 21890</v>
      </c>
      <c r="E179" t="s">
        <v>354</v>
      </c>
      <c r="F179" t="s">
        <v>354</v>
      </c>
      <c r="G179" t="s">
        <v>745</v>
      </c>
      <c r="H179">
        <v>72990</v>
      </c>
      <c r="I179">
        <f>VLOOKUP(C179,[1]Sheet1!$A$2:$E$20000,5,0)</f>
        <v>21890</v>
      </c>
      <c r="J179" t="str">
        <f>VLOOKUP(B179,[2]AC!$B$2:$BA$100,44,0)</f>
        <v>A+</v>
      </c>
      <c r="K179" s="2">
        <f t="shared" si="11"/>
        <v>43794</v>
      </c>
      <c r="L179" t="s">
        <v>73</v>
      </c>
    </row>
    <row r="180" spans="1:12" x14ac:dyDescent="0.25">
      <c r="A180">
        <f t="shared" si="8"/>
        <v>179</v>
      </c>
      <c r="B180" s="1" t="s">
        <v>424</v>
      </c>
      <c r="C180" s="6">
        <v>8903287206993</v>
      </c>
      <c r="D180" s="10" t="str">
        <f>VLOOKUP(C180,[1]Sheet1!$A$2:$E$1223,2,0)&amp;", "&amp;VLOOKUP(C180,[1]Sheet1!$A$2:$E$1223,3,0)&amp;", "&amp;VLOOKUP(C180,[1]Sheet1!$A$2:$E$1223,5,0)</f>
        <v>SPLIT AC 1.5 T 5S CI2053A323GN1  - IDU, ACMIU, 22790</v>
      </c>
      <c r="E180" t="s">
        <v>354</v>
      </c>
      <c r="F180" t="s">
        <v>354</v>
      </c>
      <c r="G180" t="s">
        <v>746</v>
      </c>
      <c r="H180">
        <v>75990</v>
      </c>
      <c r="I180">
        <f>VLOOKUP(C180,[1]Sheet1!$A$2:$E$20000,5,0)</f>
        <v>22790</v>
      </c>
      <c r="J180" t="str">
        <f>VLOOKUP(B180,[2]AC!$B$2:$BA$100,44,0)</f>
        <v>A++</v>
      </c>
      <c r="K180" s="2">
        <f t="shared" si="11"/>
        <v>45594</v>
      </c>
      <c r="L180" t="s">
        <v>73</v>
      </c>
    </row>
    <row r="181" spans="1:12" x14ac:dyDescent="0.25">
      <c r="A181">
        <f t="shared" si="8"/>
        <v>180</v>
      </c>
      <c r="B181" s="1" t="s">
        <v>425</v>
      </c>
      <c r="C181" s="6">
        <v>8903287206979</v>
      </c>
      <c r="D181" s="10" t="str">
        <f>VLOOKUP(C181,[1]Sheet1!$A$2:$E$1223,2,0)&amp;", "&amp;VLOOKUP(C181,[1]Sheet1!$A$2:$E$1223,3,0)&amp;", "&amp;VLOOKUP(C181,[1]Sheet1!$A$2:$E$1223,5,0)</f>
        <v>SPLIT AC 1.5 T 5S CI2051G323GN1  - IDU, ACMIU, 22040</v>
      </c>
      <c r="E181" t="s">
        <v>354</v>
      </c>
      <c r="F181" t="s">
        <v>354</v>
      </c>
      <c r="G181" t="s">
        <v>747</v>
      </c>
      <c r="H181">
        <v>73490</v>
      </c>
      <c r="I181">
        <f>VLOOKUP(C181,[1]Sheet1!$A$2:$E$20000,5,0)</f>
        <v>22040</v>
      </c>
      <c r="J181" t="str">
        <f>VLOOKUP(B181,[2]AC!$B$2:$BA$100,44,0)</f>
        <v>A+</v>
      </c>
      <c r="K181" s="2">
        <f t="shared" si="11"/>
        <v>44094</v>
      </c>
      <c r="L181" t="s">
        <v>73</v>
      </c>
    </row>
    <row r="182" spans="1:12" x14ac:dyDescent="0.25">
      <c r="A182">
        <f t="shared" si="8"/>
        <v>181</v>
      </c>
      <c r="B182" s="1" t="s">
        <v>426</v>
      </c>
      <c r="C182" s="6">
        <v>8903287206955</v>
      </c>
      <c r="D182" s="10" t="str">
        <f>VLOOKUP(C182,[1]Sheet1!$A$2:$E$1223,2,0)&amp;", "&amp;VLOOKUP(C182,[1]Sheet1!$A$2:$E$1223,3,0)&amp;", "&amp;VLOOKUP(C182,[1]Sheet1!$A$2:$E$1223,5,0)</f>
        <v>SPLIT AC 1.5 T 5S CI2053F323GN1  - IDU, ACMIU, 22940</v>
      </c>
      <c r="E182" t="s">
        <v>354</v>
      </c>
      <c r="F182" t="s">
        <v>354</v>
      </c>
      <c r="G182" t="s">
        <v>748</v>
      </c>
      <c r="H182">
        <v>76490</v>
      </c>
      <c r="I182">
        <f>VLOOKUP(C182,[1]Sheet1!$A$2:$E$20000,5,0)</f>
        <v>22940</v>
      </c>
      <c r="J182" t="str">
        <f>VLOOKUP(B182,[2]AC!$B$2:$BA$100,44,0)</f>
        <v>A++</v>
      </c>
      <c r="K182" s="2">
        <f t="shared" si="11"/>
        <v>45894</v>
      </c>
      <c r="L182" t="s">
        <v>73</v>
      </c>
    </row>
    <row r="183" spans="1:12" x14ac:dyDescent="0.25">
      <c r="A183">
        <f t="shared" si="8"/>
        <v>182</v>
      </c>
      <c r="B183" s="1" t="s">
        <v>427</v>
      </c>
      <c r="C183" s="6">
        <v>8903287207303</v>
      </c>
      <c r="D183" s="10" t="str">
        <f>VLOOKUP(C183,[1]Sheet1!$A$2:$E$1223,2,0)&amp;", "&amp;VLOOKUP(C183,[1]Sheet1!$A$2:$E$1223,3,0)&amp;", "&amp;VLOOKUP(C183,[1]Sheet1!$A$2:$E$1223,5,0)</f>
        <v>SPLIT AC 1.5 T 5S CI1852A223GN1  - IDU, ACMIU, 21740</v>
      </c>
      <c r="E183" t="s">
        <v>354</v>
      </c>
      <c r="F183" t="s">
        <v>354</v>
      </c>
      <c r="G183" t="s">
        <v>749</v>
      </c>
      <c r="H183">
        <v>72490</v>
      </c>
      <c r="I183">
        <f>VLOOKUP(C183,[1]Sheet1!$A$2:$E$20000,5,0)</f>
        <v>21740</v>
      </c>
      <c r="J183" t="str">
        <f>VLOOKUP(B183,[2]AC!$B$2:$BA$100,44,0)</f>
        <v>A+</v>
      </c>
      <c r="K183" s="2">
        <f t="shared" si="11"/>
        <v>43494</v>
      </c>
      <c r="L183" t="s">
        <v>73</v>
      </c>
    </row>
    <row r="184" spans="1:12" x14ac:dyDescent="0.25">
      <c r="A184">
        <f t="shared" si="8"/>
        <v>183</v>
      </c>
      <c r="B184" s="1" t="s">
        <v>428</v>
      </c>
      <c r="C184" s="10">
        <v>8903287206757</v>
      </c>
      <c r="D184" s="10" t="str">
        <f>VLOOKUP(C184,[1]Sheet1!$A$2:$E$1223,2,0)&amp;", "&amp;VLOOKUP(C184,[1]Sheet1!$A$2:$E$1223,3,0)&amp;", "&amp;VLOOKUP(C184,[1]Sheet1!$A$2:$E$1223,5,0)</f>
        <v>SPLIT AC 1.5 T CI1832A223GN1 - IDU, ACMIU, 62990</v>
      </c>
      <c r="E184" t="s">
        <v>354</v>
      </c>
      <c r="F184" t="s">
        <v>354</v>
      </c>
      <c r="G184" t="s">
        <v>750</v>
      </c>
      <c r="H184">
        <v>62990</v>
      </c>
      <c r="I184">
        <f>VLOOKUP(C184,[1]Sheet1!$A$2:$E$20000,5,0)</f>
        <v>62990</v>
      </c>
      <c r="J184" t="str">
        <f>VLOOKUP(B184,[2]AC!$B$2:$BA$100,44,0)</f>
        <v>A</v>
      </c>
      <c r="K184" s="2">
        <f t="shared" si="11"/>
        <v>37794</v>
      </c>
      <c r="L184" t="s">
        <v>73</v>
      </c>
    </row>
    <row r="185" spans="1:12" x14ac:dyDescent="0.25">
      <c r="A185">
        <f t="shared" si="8"/>
        <v>184</v>
      </c>
      <c r="B185" s="1" t="s">
        <v>429</v>
      </c>
      <c r="C185" s="6">
        <v>8903287207549</v>
      </c>
      <c r="D185" s="10" t="str">
        <f>VLOOKUP(C185,[1]Sheet1!$A$2:$E$1223,2,0)&amp;", "&amp;VLOOKUP(C185,[1]Sheet1!$A$2:$E$1223,3,0)&amp;", "&amp;VLOOKUP(C185,[1]Sheet1!$A$2:$E$1223,5,0)</f>
        <v>SPLIT AC 1.5 T 3S CI1833A223GM1  - IDU, ACMIU, 19790</v>
      </c>
      <c r="E185" t="s">
        <v>354</v>
      </c>
      <c r="F185" t="s">
        <v>354</v>
      </c>
      <c r="G185" t="s">
        <v>751</v>
      </c>
      <c r="H185">
        <v>65990</v>
      </c>
      <c r="I185">
        <f>VLOOKUP(C185,[1]Sheet1!$A$2:$E$20000,5,0)</f>
        <v>19790</v>
      </c>
      <c r="J185" t="str">
        <f>VLOOKUP(B185,[2]AC!$B$2:$BA$100,44,0)</f>
        <v>A</v>
      </c>
      <c r="K185" s="2">
        <f t="shared" si="11"/>
        <v>39594</v>
      </c>
      <c r="L185" t="s">
        <v>73</v>
      </c>
    </row>
    <row r="186" spans="1:12" x14ac:dyDescent="0.25">
      <c r="A186">
        <f t="shared" si="8"/>
        <v>185</v>
      </c>
      <c r="B186" s="1" t="s">
        <v>430</v>
      </c>
      <c r="C186" s="10">
        <v>8903287206733</v>
      </c>
      <c r="D186" s="10" t="str">
        <f>VLOOKUP(C186,[1]Sheet1!$A$2:$E$1223,2,0)&amp;", "&amp;VLOOKUP(C186,[1]Sheet1!$A$2:$E$1223,3,0)&amp;", "&amp;VLOOKUP(C186,[1]Sheet1!$A$2:$E$1223,5,0)</f>
        <v>SPLIT AC 1.5 T CI1832D223GN1 - IDU, ACMIU, 62990</v>
      </c>
      <c r="E186" t="s">
        <v>354</v>
      </c>
      <c r="F186" t="s">
        <v>354</v>
      </c>
      <c r="G186" t="s">
        <v>752</v>
      </c>
      <c r="H186">
        <v>62990</v>
      </c>
      <c r="I186">
        <f>VLOOKUP(C186,[1]Sheet1!$A$2:$E$20000,5,0)</f>
        <v>62990</v>
      </c>
      <c r="J186" t="str">
        <f>VLOOKUP(B186,[2]AC!$B$2:$BA$100,44,0)</f>
        <v>A</v>
      </c>
      <c r="K186" s="2">
        <f t="shared" si="11"/>
        <v>37794</v>
      </c>
      <c r="L186" t="s">
        <v>73</v>
      </c>
    </row>
    <row r="187" spans="1:12" x14ac:dyDescent="0.25">
      <c r="A187">
        <f t="shared" si="8"/>
        <v>186</v>
      </c>
      <c r="B187" s="1" t="s">
        <v>431</v>
      </c>
      <c r="C187" s="6">
        <v>8903287207327</v>
      </c>
      <c r="D187" s="10" t="str">
        <f>VLOOKUP(C187,[1]Sheet1!$A$2:$E$1223,2,0)&amp;", "&amp;VLOOKUP(C187,[1]Sheet1!$A$2:$E$1223,3,0)&amp;", "&amp;VLOOKUP(C187,[1]Sheet1!$A$2:$E$1223,5,0)</f>
        <v>SPLIT AC 1.5 T 3S CI1831G223GN1  - IDU, ACMIU, 19040</v>
      </c>
      <c r="E187" t="s">
        <v>354</v>
      </c>
      <c r="F187" t="s">
        <v>354</v>
      </c>
      <c r="G187" t="s">
        <v>753</v>
      </c>
      <c r="H187">
        <v>63490</v>
      </c>
      <c r="I187">
        <f>VLOOKUP(C187,[1]Sheet1!$A$2:$E$20000,5,0)</f>
        <v>19040</v>
      </c>
      <c r="J187" t="str">
        <f>VLOOKUP(B187,[2]AC!$B$2:$BA$100,44,0)</f>
        <v>A</v>
      </c>
      <c r="K187" s="2">
        <f t="shared" si="11"/>
        <v>38094</v>
      </c>
      <c r="L187" t="s">
        <v>73</v>
      </c>
    </row>
    <row r="188" spans="1:12" x14ac:dyDescent="0.25">
      <c r="A188">
        <f t="shared" si="8"/>
        <v>187</v>
      </c>
      <c r="B188" s="1" t="s">
        <v>432</v>
      </c>
      <c r="C188" s="10">
        <v>8903287206696</v>
      </c>
      <c r="D188" s="10" t="str">
        <f>VLOOKUP(C188,[1]Sheet1!$A$2:$E$1223,2,0)&amp;", "&amp;VLOOKUP(C188,[1]Sheet1!$A$2:$E$1223,3,0)&amp;", "&amp;VLOOKUP(C188,[1]Sheet1!$A$2:$E$1223,5,0)</f>
        <v>SPLIT AC 1.5 T CI1833F223GM1 - IDU, ACMIU, 66490</v>
      </c>
      <c r="E188" t="s">
        <v>354</v>
      </c>
      <c r="F188" t="s">
        <v>354</v>
      </c>
      <c r="G188" t="s">
        <v>754</v>
      </c>
      <c r="H188">
        <v>66490</v>
      </c>
      <c r="I188">
        <f>VLOOKUP(C188,[1]Sheet1!$A$2:$E$20000,5,0)</f>
        <v>66490</v>
      </c>
      <c r="J188" t="str">
        <f>VLOOKUP(B188,[2]AC!$B$2:$BA$100,44,0)</f>
        <v>A</v>
      </c>
      <c r="K188" s="2">
        <f t="shared" si="11"/>
        <v>39894</v>
      </c>
      <c r="L188" t="s">
        <v>73</v>
      </c>
    </row>
    <row r="189" spans="1:12" x14ac:dyDescent="0.25">
      <c r="A189">
        <f t="shared" si="8"/>
        <v>188</v>
      </c>
      <c r="B189" s="1" t="s">
        <v>433</v>
      </c>
      <c r="C189" s="6">
        <v>8903287207266</v>
      </c>
      <c r="D189" s="10" t="str">
        <f>VLOOKUP(C189,[1]Sheet1!$A$2:$E$1223,2,0)&amp;", "&amp;VLOOKUP(C189,[1]Sheet1!$A$2:$E$1223,3,0)&amp;", "&amp;VLOOKUP(C189,[1]Sheet1!$A$2:$E$1223,5,0)</f>
        <v>SPLIT AC 1.0 T 3S CI1333A113GN1 IDU, ACMIU, 16790</v>
      </c>
      <c r="E189" t="s">
        <v>354</v>
      </c>
      <c r="F189" t="s">
        <v>354</v>
      </c>
      <c r="G189" t="s">
        <v>755</v>
      </c>
      <c r="H189">
        <v>55990</v>
      </c>
      <c r="I189">
        <f>VLOOKUP(C189,[1]Sheet1!$A$2:$E$20000,5,0)</f>
        <v>16790</v>
      </c>
      <c r="J189" t="str">
        <f>VLOOKUP(B189,[2]AC!$B$2:$BA$100,44,0)</f>
        <v>B</v>
      </c>
      <c r="K189" s="2">
        <f t="shared" si="11"/>
        <v>33594</v>
      </c>
      <c r="L189" t="s">
        <v>73</v>
      </c>
    </row>
    <row r="190" spans="1:12" x14ac:dyDescent="0.25">
      <c r="A190">
        <f t="shared" si="8"/>
        <v>189</v>
      </c>
      <c r="B190" s="1" t="s">
        <v>434</v>
      </c>
      <c r="C190" s="6">
        <v>8903287207242</v>
      </c>
      <c r="D190" s="10" t="str">
        <f>VLOOKUP(C190,[1]Sheet1!$A$2:$E$1223,2,0)&amp;", "&amp;VLOOKUP(C190,[1]Sheet1!$A$2:$E$1223,3,0)&amp;", "&amp;VLOOKUP(C190,[1]Sheet1!$A$2:$E$1223,5,0)</f>
        <v>SPLIT AC 1.0 T 3S CI1332D113GN1 IDU, ACMIU, 15890</v>
      </c>
      <c r="E190" t="s">
        <v>354</v>
      </c>
      <c r="F190" t="s">
        <v>354</v>
      </c>
      <c r="G190" t="s">
        <v>756</v>
      </c>
      <c r="H190">
        <v>52990</v>
      </c>
      <c r="I190">
        <f>VLOOKUP(C190,[1]Sheet1!$A$2:$E$20000,5,0)</f>
        <v>15890</v>
      </c>
      <c r="J190" t="str">
        <f>VLOOKUP(B190,[2]AC!$B$2:$BA$100,44,0)</f>
        <v>C</v>
      </c>
      <c r="K190" s="2">
        <f t="shared" si="11"/>
        <v>31794</v>
      </c>
      <c r="L190" t="s">
        <v>73</v>
      </c>
    </row>
    <row r="191" spans="1:12" x14ac:dyDescent="0.25">
      <c r="A191">
        <f t="shared" si="8"/>
        <v>190</v>
      </c>
      <c r="B191" s="1" t="s">
        <v>435</v>
      </c>
      <c r="C191" s="6">
        <v>8903287207525</v>
      </c>
      <c r="D191" s="10" t="str">
        <f>VLOOKUP(C191,[1]Sheet1!$A$2:$E$1223,2,0)&amp;", "&amp;VLOOKUP(C191,[1]Sheet1!$A$2:$E$1223,3,0)&amp;", "&amp;VLOOKUP(C191,[1]Sheet1!$A$2:$E$1223,5,0)</f>
        <v>SPLIT AC 1.0 T CI1333E113GN1 IDU, ACMIU, 16790</v>
      </c>
      <c r="E191" t="s">
        <v>354</v>
      </c>
      <c r="F191" t="s">
        <v>354</v>
      </c>
      <c r="G191" t="s">
        <v>757</v>
      </c>
      <c r="H191">
        <v>55990</v>
      </c>
      <c r="I191">
        <f>VLOOKUP(C191,[1]Sheet1!$A$2:$E$20000,5,0)</f>
        <v>16790</v>
      </c>
      <c r="J191" t="str">
        <f>VLOOKUP(B191,[2]AC!$B$2:$BA$100,44,0)</f>
        <v>B</v>
      </c>
      <c r="K191" s="2">
        <f t="shared" si="11"/>
        <v>33594</v>
      </c>
      <c r="L191" t="s">
        <v>73</v>
      </c>
    </row>
    <row r="192" spans="1:12" x14ac:dyDescent="0.25">
      <c r="A192">
        <f t="shared" si="8"/>
        <v>191</v>
      </c>
      <c r="B192" s="1" t="s">
        <v>436</v>
      </c>
      <c r="C192" s="10">
        <v>8903287205132</v>
      </c>
      <c r="D192" s="10" t="str">
        <f>VLOOKUP(C192,[1]Sheet1!$A$2:$E$1223,2,0)&amp;", "&amp;VLOOKUP(C192,[1]Sheet1!$A$2:$E$1223,3,0)&amp;", "&amp;VLOOKUP(C192,[1]Sheet1!$A$2:$E$1223,5,0)</f>
        <v>SPLIT AC 2.0T IAHI24X23G3C - IDU, ACMIU, 67990</v>
      </c>
      <c r="E192" t="s">
        <v>354</v>
      </c>
      <c r="F192" t="s">
        <v>354</v>
      </c>
      <c r="G192" t="s">
        <v>758</v>
      </c>
      <c r="H192">
        <v>67990</v>
      </c>
      <c r="I192">
        <f>VLOOKUP(C192,[1]Sheet1!$A$2:$E$20000,5,0)</f>
        <v>67990</v>
      </c>
      <c r="J192" t="str">
        <f>VLOOKUP(B192,[2]AC!$B$2:$BA$100,44,0)</f>
        <v>A+</v>
      </c>
      <c r="K192" s="2">
        <f>H192-(H192*0.15)</f>
        <v>57791.5</v>
      </c>
      <c r="L192" t="s">
        <v>73</v>
      </c>
    </row>
    <row r="193" spans="1:12" x14ac:dyDescent="0.25">
      <c r="A193">
        <f t="shared" si="8"/>
        <v>192</v>
      </c>
      <c r="B193" s="1" t="s">
        <v>437</v>
      </c>
      <c r="C193" s="10" t="e">
        <v>#N/A</v>
      </c>
      <c r="D193" s="10" t="e">
        <f>VLOOKUP(C193,[1]Sheet1!$A$2:$E$1223,2,0)&amp;", "&amp;VLOOKUP(C193,[1]Sheet1!$A$2:$E$1223,3,0)&amp;", "&amp;VLOOKUP(C193,[1]Sheet1!$A$2:$E$1223,5,0)</f>
        <v>#N/A</v>
      </c>
      <c r="E193" t="s">
        <v>354</v>
      </c>
      <c r="F193" t="s">
        <v>354</v>
      </c>
      <c r="G193" t="s">
        <v>759</v>
      </c>
      <c r="H193">
        <v>79990</v>
      </c>
      <c r="I193" t="e">
        <f>VLOOKUP(C193,[1]Sheet1!$A$2:$E$20000,5,0)</f>
        <v>#N/A</v>
      </c>
      <c r="J193" t="str">
        <f>VLOOKUP(B193,[2]AC!$B$2:$BA$100,44,0)</f>
        <v>A++</v>
      </c>
      <c r="K193" s="2">
        <f>H193-(H193*0.18)</f>
        <v>65591.8</v>
      </c>
      <c r="L193" t="s">
        <v>73</v>
      </c>
    </row>
    <row r="194" spans="1:12" x14ac:dyDescent="0.25">
      <c r="A194">
        <f t="shared" si="8"/>
        <v>193</v>
      </c>
      <c r="B194" s="1" t="s">
        <v>438</v>
      </c>
      <c r="C194" s="10">
        <v>8903287206634</v>
      </c>
      <c r="D194" s="10" t="str">
        <f>VLOOKUP(C194,[1]Sheet1!$A$2:$E$1223,2,0)&amp;", "&amp;VLOOKUP(C194,[1]Sheet1!$A$2:$E$1223,3,0)&amp;", "&amp;VLOOKUP(C194,[1]Sheet1!$A$2:$E$1223,5,0)</f>
        <v>SPLIT AC 1.5 T CI1833E223GN1 - IDU, ACMIU, 65990</v>
      </c>
      <c r="E194" t="s">
        <v>354</v>
      </c>
      <c r="F194" t="s">
        <v>354</v>
      </c>
      <c r="G194" t="s">
        <v>760</v>
      </c>
      <c r="H194">
        <v>65990</v>
      </c>
      <c r="I194">
        <f>VLOOKUP(C194,[1]Sheet1!$A$2:$E$20000,5,0)</f>
        <v>65990</v>
      </c>
      <c r="J194" t="str">
        <f>VLOOKUP(B194,[2]AC!$B$2:$BA$100,44,0)</f>
        <v>A</v>
      </c>
      <c r="K194" s="2">
        <f t="shared" si="11"/>
        <v>39594</v>
      </c>
      <c r="L194" t="s">
        <v>73</v>
      </c>
    </row>
    <row r="195" spans="1:12" x14ac:dyDescent="0.25">
      <c r="A195">
        <f t="shared" ref="A195:A258" si="12">ROW(B194)</f>
        <v>194</v>
      </c>
      <c r="B195" s="1" t="s">
        <v>453</v>
      </c>
      <c r="C195" s="6">
        <v>8903287024528</v>
      </c>
      <c r="D195" s="7" t="str">
        <f>VLOOKUP(C195,[1]Sheet1!$A$2:$E$1223,2,0)&amp;", "&amp;VLOOKUP(C195,[1]Sheet1!$A$2:$E$1223,3,0)&amp;", "&amp;VLOOKUP(C195,[1]Sheet1!$A$2:$E$1223,5,0)</f>
        <v>WD EXECUTIVE ZXS 8.5/6.5 KG, WD, 73990</v>
      </c>
      <c r="E195" t="s">
        <v>457</v>
      </c>
      <c r="F195" t="s">
        <v>457</v>
      </c>
      <c r="G195" t="s">
        <v>761</v>
      </c>
      <c r="H195">
        <v>73990</v>
      </c>
      <c r="J195" s="2">
        <f>H195-(H195*0.08)</f>
        <v>68070.8</v>
      </c>
      <c r="K195" s="2" t="str">
        <f>VLOOKUP(B195,[2]WD!$B$2:$BA$100,43,0)</f>
        <v>A++</v>
      </c>
      <c r="L195" t="s">
        <v>73</v>
      </c>
    </row>
    <row r="196" spans="1:12" x14ac:dyDescent="0.25">
      <c r="A196">
        <f t="shared" si="12"/>
        <v>195</v>
      </c>
      <c r="B196" s="1" t="s">
        <v>454</v>
      </c>
      <c r="C196" s="6">
        <v>8903287030178</v>
      </c>
      <c r="D196" s="7" t="str">
        <f>VLOOKUP(C196,[1]Sheet1!$A$2:$E$1223,2,0)&amp;", "&amp;VLOOKUP(C196,[1]Sheet1!$A$2:$E$1223,3,0)&amp;", "&amp;VLOOKUP(C196,[1]Sheet1!$A$2:$E$1223,5,0)</f>
        <v>WD EXECUTIVE ZXB 8.5/6.5 KG, WD, 78490</v>
      </c>
      <c r="E196" t="s">
        <v>457</v>
      </c>
      <c r="F196" t="s">
        <v>457</v>
      </c>
      <c r="G196" t="s">
        <v>762</v>
      </c>
      <c r="H196">
        <v>78490</v>
      </c>
      <c r="J196" s="2">
        <f t="shared" ref="J196:J246" si="13">H196-(H196*0.08)</f>
        <v>72210.8</v>
      </c>
      <c r="K196" s="2" t="str">
        <f>VLOOKUP(B196,[2]WD!$B$2:$BA$100,43,0)</f>
        <v>A++</v>
      </c>
      <c r="L196" t="s">
        <v>73</v>
      </c>
    </row>
    <row r="197" spans="1:12" x14ac:dyDescent="0.25">
      <c r="A197">
        <f t="shared" si="12"/>
        <v>196</v>
      </c>
      <c r="B197" s="1" t="s">
        <v>455</v>
      </c>
      <c r="C197" s="6">
        <v>8903287030161</v>
      </c>
      <c r="D197" s="7" t="str">
        <f>VLOOKUP(C197,[1]Sheet1!$A$2:$E$1223,2,0)&amp;", "&amp;VLOOKUP(C197,[1]Sheet1!$A$2:$E$1223,3,0)&amp;", "&amp;VLOOKUP(C197,[1]Sheet1!$A$2:$E$1223,5,0)</f>
        <v>WD EXECUTIVE ZXV 8.5/6.5 KG, WD, 78990</v>
      </c>
      <c r="E197" t="s">
        <v>457</v>
      </c>
      <c r="F197" t="s">
        <v>457</v>
      </c>
      <c r="G197" t="s">
        <v>763</v>
      </c>
      <c r="H197">
        <v>78990</v>
      </c>
      <c r="J197" s="2">
        <f t="shared" si="13"/>
        <v>72670.8</v>
      </c>
      <c r="K197" s="2" t="str">
        <f>VLOOKUP(B197,[2]WD!$B$2:$BA$100,43,0)</f>
        <v>A++</v>
      </c>
      <c r="L197" t="s">
        <v>73</v>
      </c>
    </row>
    <row r="198" spans="1:12" x14ac:dyDescent="0.25">
      <c r="A198">
        <f t="shared" si="12"/>
        <v>197</v>
      </c>
      <c r="B198" s="1" t="s">
        <v>456</v>
      </c>
      <c r="C198" s="6">
        <v>8903287024535</v>
      </c>
      <c r="D198" s="7" t="str">
        <f>VLOOKUP(C198,[1]Sheet1!$A$2:$E$1223,2,0)&amp;", "&amp;VLOOKUP(C198,[1]Sheet1!$A$2:$E$1223,3,0)&amp;", "&amp;VLOOKUP(C198,[1]Sheet1!$A$2:$E$1223,5,0)</f>
        <v>WD EXECUTIVE ZXM 8.5/6.5 KG, WD, 76990</v>
      </c>
      <c r="E198" t="s">
        <v>457</v>
      </c>
      <c r="F198" t="s">
        <v>457</v>
      </c>
      <c r="G198" t="s">
        <v>764</v>
      </c>
      <c r="H198">
        <v>76990</v>
      </c>
      <c r="J198" s="2">
        <f t="shared" si="13"/>
        <v>70830.8</v>
      </c>
      <c r="K198" s="2" t="str">
        <f>VLOOKUP(B198,[2]WD!$B$2:$BA$100,43,0)</f>
        <v>A++</v>
      </c>
      <c r="L198" t="s">
        <v>73</v>
      </c>
    </row>
    <row r="199" spans="1:12" x14ac:dyDescent="0.25">
      <c r="A199">
        <f t="shared" si="12"/>
        <v>198</v>
      </c>
      <c r="B199" s="1" t="s">
        <v>481</v>
      </c>
      <c r="C199" s="1"/>
      <c r="D199" s="1"/>
      <c r="E199" t="s">
        <v>323</v>
      </c>
      <c r="F199" t="s">
        <v>467</v>
      </c>
      <c r="G199" t="s">
        <v>765</v>
      </c>
      <c r="H199">
        <v>23650</v>
      </c>
      <c r="J199">
        <f t="shared" si="13"/>
        <v>21758</v>
      </c>
      <c r="K199" t="str">
        <f>VLOOKUP(B199,'[2]RF-Single_Door'!$B$2:$AA$49,26,0)</f>
        <v>A</v>
      </c>
      <c r="L199" t="s">
        <v>73</v>
      </c>
    </row>
    <row r="200" spans="1:12" x14ac:dyDescent="0.25">
      <c r="A200">
        <f t="shared" si="12"/>
        <v>199</v>
      </c>
      <c r="B200" s="1" t="s">
        <v>482</v>
      </c>
      <c r="C200" s="1"/>
      <c r="D200" s="1"/>
      <c r="E200" t="s">
        <v>323</v>
      </c>
      <c r="F200" t="s">
        <v>467</v>
      </c>
      <c r="G200" t="s">
        <v>766</v>
      </c>
      <c r="H200">
        <v>23900</v>
      </c>
      <c r="J200">
        <f t="shared" si="13"/>
        <v>21988</v>
      </c>
      <c r="K200" t="str">
        <f>VLOOKUP(B200,'[2]RF-Single_Door'!$B$2:$AA$49,26,0)</f>
        <v>A</v>
      </c>
      <c r="L200" t="s">
        <v>73</v>
      </c>
    </row>
    <row r="201" spans="1:12" x14ac:dyDescent="0.25">
      <c r="A201">
        <f t="shared" si="12"/>
        <v>200</v>
      </c>
      <c r="B201" s="1" t="s">
        <v>483</v>
      </c>
      <c r="C201" s="1"/>
      <c r="D201" s="1"/>
      <c r="E201" t="s">
        <v>323</v>
      </c>
      <c r="F201" t="s">
        <v>467</v>
      </c>
      <c r="G201" t="s">
        <v>767</v>
      </c>
      <c r="H201">
        <v>23900</v>
      </c>
      <c r="J201">
        <f t="shared" si="13"/>
        <v>21988</v>
      </c>
      <c r="K201" t="str">
        <f>VLOOKUP(B201,'[2]RF-Single_Door'!$B$2:$AA$49,26,0)</f>
        <v>A</v>
      </c>
      <c r="L201" t="s">
        <v>73</v>
      </c>
    </row>
    <row r="202" spans="1:12" x14ac:dyDescent="0.25">
      <c r="A202">
        <f t="shared" si="12"/>
        <v>201</v>
      </c>
      <c r="B202" s="1" t="s">
        <v>484</v>
      </c>
      <c r="C202" s="1"/>
      <c r="D202" s="1"/>
      <c r="E202" t="s">
        <v>323</v>
      </c>
      <c r="F202" t="s">
        <v>467</v>
      </c>
      <c r="G202" t="s">
        <v>768</v>
      </c>
      <c r="H202">
        <v>26200</v>
      </c>
      <c r="J202">
        <f t="shared" si="13"/>
        <v>24104</v>
      </c>
      <c r="K202" t="str">
        <f>VLOOKUP(B202,'[2]RF-Single_Door'!$B$2:$AA$49,26,0)</f>
        <v>A+</v>
      </c>
      <c r="L202" t="s">
        <v>73</v>
      </c>
    </row>
    <row r="203" spans="1:12" x14ac:dyDescent="0.25">
      <c r="A203">
        <f t="shared" si="12"/>
        <v>202</v>
      </c>
      <c r="B203" s="1" t="s">
        <v>485</v>
      </c>
      <c r="C203" s="1"/>
      <c r="D203" s="1"/>
      <c r="E203" t="s">
        <v>323</v>
      </c>
      <c r="F203" t="s">
        <v>467</v>
      </c>
      <c r="G203" t="s">
        <v>769</v>
      </c>
      <c r="H203">
        <v>26200</v>
      </c>
      <c r="J203">
        <f t="shared" si="13"/>
        <v>24104</v>
      </c>
      <c r="K203" t="str">
        <f>VLOOKUP(B203,'[2]RF-Single_Door'!$B$2:$AA$49,26,0)</f>
        <v>A+</v>
      </c>
      <c r="L203" t="s">
        <v>73</v>
      </c>
    </row>
    <row r="204" spans="1:12" x14ac:dyDescent="0.25">
      <c r="A204">
        <f t="shared" si="12"/>
        <v>203</v>
      </c>
      <c r="B204" s="1" t="s">
        <v>486</v>
      </c>
      <c r="C204" s="1"/>
      <c r="D204" s="1"/>
      <c r="E204" t="s">
        <v>323</v>
      </c>
      <c r="F204" t="s">
        <v>467</v>
      </c>
      <c r="G204" t="s">
        <v>770</v>
      </c>
      <c r="H204">
        <v>21550</v>
      </c>
      <c r="J204">
        <f t="shared" si="13"/>
        <v>19826</v>
      </c>
      <c r="K204" t="str">
        <f>VLOOKUP(B204,'[2]RF-Single_Door'!$B$2:$AA$49,26,0)</f>
        <v>B</v>
      </c>
      <c r="L204" t="s">
        <v>73</v>
      </c>
    </row>
    <row r="205" spans="1:12" x14ac:dyDescent="0.25">
      <c r="A205">
        <f t="shared" si="12"/>
        <v>204</v>
      </c>
      <c r="B205" s="1" t="s">
        <v>487</v>
      </c>
      <c r="C205" s="1"/>
      <c r="D205" s="1"/>
      <c r="E205" t="s">
        <v>323</v>
      </c>
      <c r="F205" t="s">
        <v>467</v>
      </c>
      <c r="G205" t="s">
        <v>771</v>
      </c>
      <c r="H205">
        <v>23650</v>
      </c>
      <c r="J205">
        <f t="shared" si="13"/>
        <v>21758</v>
      </c>
      <c r="K205" t="str">
        <f>VLOOKUP(B205,'[2]RF-Single_Door'!$B$2:$AA$49,26,0)</f>
        <v>A</v>
      </c>
      <c r="L205" t="s">
        <v>73</v>
      </c>
    </row>
    <row r="206" spans="1:12" x14ac:dyDescent="0.25">
      <c r="A206">
        <f t="shared" si="12"/>
        <v>205</v>
      </c>
      <c r="B206" s="1" t="s">
        <v>488</v>
      </c>
      <c r="C206" s="1"/>
      <c r="D206" s="1"/>
      <c r="E206" t="s">
        <v>323</v>
      </c>
      <c r="F206" t="s">
        <v>467</v>
      </c>
      <c r="G206" t="s">
        <v>772</v>
      </c>
      <c r="H206">
        <v>25050</v>
      </c>
      <c r="J206">
        <f t="shared" si="13"/>
        <v>23046</v>
      </c>
      <c r="K206" t="str">
        <f>VLOOKUP(B206,'[2]RF-Single_Door'!$B$2:$AA$49,26,0)</f>
        <v>A+</v>
      </c>
      <c r="L206" t="s">
        <v>73</v>
      </c>
    </row>
    <row r="207" spans="1:12" x14ac:dyDescent="0.25">
      <c r="A207">
        <f t="shared" si="12"/>
        <v>206</v>
      </c>
      <c r="B207" s="1" t="s">
        <v>466</v>
      </c>
      <c r="C207" s="1"/>
      <c r="D207" s="1"/>
      <c r="E207" t="s">
        <v>323</v>
      </c>
      <c r="F207" t="s">
        <v>467</v>
      </c>
      <c r="G207" t="s">
        <v>773</v>
      </c>
      <c r="H207">
        <v>28250</v>
      </c>
      <c r="J207">
        <f t="shared" si="13"/>
        <v>25990</v>
      </c>
      <c r="K207" t="str">
        <f>VLOOKUP(B207,'[2]RF-Single_Door'!$B$2:$AA$49,26,0)</f>
        <v>A++</v>
      </c>
      <c r="L207" t="s">
        <v>73</v>
      </c>
    </row>
    <row r="208" spans="1:12" x14ac:dyDescent="0.25">
      <c r="A208">
        <f t="shared" si="12"/>
        <v>207</v>
      </c>
      <c r="B208" s="1" t="s">
        <v>489</v>
      </c>
      <c r="C208" s="1"/>
      <c r="D208" s="1"/>
      <c r="E208" t="s">
        <v>323</v>
      </c>
      <c r="F208" t="s">
        <v>467</v>
      </c>
      <c r="G208" t="s">
        <v>774</v>
      </c>
      <c r="H208">
        <v>29050</v>
      </c>
      <c r="J208">
        <f t="shared" si="13"/>
        <v>26726</v>
      </c>
      <c r="K208" t="str">
        <f>VLOOKUP(B208,'[2]RF-Single_Door'!$B$2:$AA$49,26,0)</f>
        <v>A++</v>
      </c>
      <c r="L208" t="s">
        <v>73</v>
      </c>
    </row>
    <row r="209" spans="1:12" x14ac:dyDescent="0.25">
      <c r="A209">
        <f t="shared" si="12"/>
        <v>208</v>
      </c>
      <c r="B209" s="1" t="s">
        <v>490</v>
      </c>
      <c r="C209" s="1"/>
      <c r="D209" s="1"/>
      <c r="E209" t="s">
        <v>323</v>
      </c>
      <c r="F209" t="s">
        <v>467</v>
      </c>
      <c r="G209" t="s">
        <v>775</v>
      </c>
      <c r="H209">
        <v>28250</v>
      </c>
      <c r="J209">
        <f t="shared" si="13"/>
        <v>25990</v>
      </c>
      <c r="K209" t="str">
        <f>VLOOKUP(B209,'[2]RF-Single_Door'!$B$2:$AA$49,26,0)</f>
        <v>A++</v>
      </c>
      <c r="L209" t="s">
        <v>73</v>
      </c>
    </row>
    <row r="210" spans="1:12" x14ac:dyDescent="0.25">
      <c r="A210">
        <f t="shared" si="12"/>
        <v>209</v>
      </c>
      <c r="B210" s="1" t="s">
        <v>491</v>
      </c>
      <c r="C210" s="1"/>
      <c r="D210" s="1"/>
      <c r="E210" t="s">
        <v>323</v>
      </c>
      <c r="F210" t="s">
        <v>467</v>
      </c>
      <c r="G210" t="s">
        <v>776</v>
      </c>
      <c r="H210">
        <v>25050</v>
      </c>
      <c r="J210">
        <f t="shared" si="13"/>
        <v>23046</v>
      </c>
      <c r="K210" t="str">
        <f>VLOOKUP(B210,'[2]RF-Single_Door'!$B$2:$AA$49,26,0)</f>
        <v>A+</v>
      </c>
      <c r="L210" t="s">
        <v>73</v>
      </c>
    </row>
    <row r="211" spans="1:12" x14ac:dyDescent="0.25">
      <c r="A211">
        <f t="shared" si="12"/>
        <v>210</v>
      </c>
      <c r="B211" s="1" t="s">
        <v>492</v>
      </c>
      <c r="C211" s="1"/>
      <c r="D211" s="1"/>
      <c r="E211" t="s">
        <v>323</v>
      </c>
      <c r="F211" t="s">
        <v>467</v>
      </c>
      <c r="G211" t="s">
        <v>777</v>
      </c>
      <c r="H211">
        <v>23650</v>
      </c>
      <c r="J211">
        <f t="shared" si="13"/>
        <v>21758</v>
      </c>
      <c r="K211" t="str">
        <f>VLOOKUP(B211,'[2]RF-Single_Door'!$B$2:$AA$49,26,0)</f>
        <v>A</v>
      </c>
      <c r="L211" t="s">
        <v>73</v>
      </c>
    </row>
    <row r="212" spans="1:12" x14ac:dyDescent="0.25">
      <c r="A212">
        <f t="shared" si="12"/>
        <v>211</v>
      </c>
      <c r="B212" s="1" t="s">
        <v>493</v>
      </c>
      <c r="C212" s="1"/>
      <c r="D212" s="1"/>
      <c r="E212" t="s">
        <v>323</v>
      </c>
      <c r="F212" t="s">
        <v>467</v>
      </c>
      <c r="G212" t="s">
        <v>778</v>
      </c>
      <c r="H212">
        <v>23650</v>
      </c>
      <c r="J212">
        <f t="shared" si="13"/>
        <v>21758</v>
      </c>
      <c r="K212" t="str">
        <f>VLOOKUP(B212,'[2]RF-Single_Door'!$B$2:$AA$49,26,0)</f>
        <v>A</v>
      </c>
      <c r="L212" t="s">
        <v>73</v>
      </c>
    </row>
    <row r="213" spans="1:12" x14ac:dyDescent="0.25">
      <c r="A213">
        <f t="shared" si="12"/>
        <v>212</v>
      </c>
      <c r="B213" s="1" t="s">
        <v>494</v>
      </c>
      <c r="C213" s="1"/>
      <c r="D213" s="1"/>
      <c r="E213" t="s">
        <v>323</v>
      </c>
      <c r="F213" t="s">
        <v>467</v>
      </c>
      <c r="G213" t="s">
        <v>779</v>
      </c>
      <c r="H213">
        <v>22300</v>
      </c>
      <c r="J213">
        <f t="shared" si="13"/>
        <v>20516</v>
      </c>
      <c r="K213" t="str">
        <f>VLOOKUP(B213,'[2]RF-Single_Door'!$B$2:$AA$49,26,0)</f>
        <v>B</v>
      </c>
      <c r="L213" t="s">
        <v>73</v>
      </c>
    </row>
    <row r="214" spans="1:12" x14ac:dyDescent="0.25">
      <c r="A214">
        <f t="shared" si="12"/>
        <v>213</v>
      </c>
      <c r="B214" s="1" t="s">
        <v>495</v>
      </c>
      <c r="C214" s="1"/>
      <c r="D214" s="1"/>
      <c r="E214" t="s">
        <v>323</v>
      </c>
      <c r="F214" t="s">
        <v>467</v>
      </c>
      <c r="G214" t="s">
        <v>780</v>
      </c>
      <c r="H214">
        <v>22300</v>
      </c>
      <c r="J214">
        <f t="shared" si="13"/>
        <v>20516</v>
      </c>
      <c r="K214" t="str">
        <f>VLOOKUP(B214,'[2]RF-Single_Door'!$B$2:$AA$49,26,0)</f>
        <v>B</v>
      </c>
      <c r="L214" t="s">
        <v>73</v>
      </c>
    </row>
    <row r="215" spans="1:12" x14ac:dyDescent="0.25">
      <c r="A215">
        <f t="shared" si="12"/>
        <v>214</v>
      </c>
      <c r="B215" s="1" t="s">
        <v>496</v>
      </c>
      <c r="C215" s="1"/>
      <c r="D215" s="1"/>
      <c r="E215" t="s">
        <v>323</v>
      </c>
      <c r="F215" t="s">
        <v>467</v>
      </c>
      <c r="G215" t="s">
        <v>781</v>
      </c>
      <c r="H215">
        <v>21550</v>
      </c>
      <c r="J215">
        <f t="shared" si="13"/>
        <v>19826</v>
      </c>
      <c r="K215" t="str">
        <f>VLOOKUP(B215,'[2]RF-Single_Door'!$B$2:$AA$49,26,0)</f>
        <v>B</v>
      </c>
      <c r="L215" t="s">
        <v>73</v>
      </c>
    </row>
    <row r="216" spans="1:12" x14ac:dyDescent="0.25">
      <c r="A216">
        <f t="shared" si="12"/>
        <v>215</v>
      </c>
      <c r="B216" s="1" t="s">
        <v>497</v>
      </c>
      <c r="C216" s="1"/>
      <c r="D216" s="1"/>
      <c r="E216" t="s">
        <v>323</v>
      </c>
      <c r="F216" t="s">
        <v>467</v>
      </c>
      <c r="G216" t="s">
        <v>782</v>
      </c>
      <c r="H216">
        <v>27400</v>
      </c>
      <c r="J216">
        <f t="shared" si="13"/>
        <v>25208</v>
      </c>
      <c r="K216" t="str">
        <f>VLOOKUP(B216,'[2]RF-Single_Door'!$B$2:$AA$49,26,0)</f>
        <v>A+</v>
      </c>
      <c r="L216" t="s">
        <v>73</v>
      </c>
    </row>
    <row r="217" spans="1:12" x14ac:dyDescent="0.25">
      <c r="A217">
        <f t="shared" si="12"/>
        <v>216</v>
      </c>
      <c r="B217" s="1" t="s">
        <v>498</v>
      </c>
      <c r="C217" s="1"/>
      <c r="D217" s="1"/>
      <c r="E217" t="s">
        <v>323</v>
      </c>
      <c r="F217" t="s">
        <v>467</v>
      </c>
      <c r="G217" t="s">
        <v>783</v>
      </c>
      <c r="H217">
        <v>26400</v>
      </c>
      <c r="J217">
        <f t="shared" si="13"/>
        <v>24288</v>
      </c>
      <c r="K217" t="str">
        <f>VLOOKUP(B217,'[2]RF-Single_Door'!$B$2:$AA$49,26,0)</f>
        <v>A+</v>
      </c>
      <c r="L217" t="s">
        <v>73</v>
      </c>
    </row>
    <row r="218" spans="1:12" x14ac:dyDescent="0.25">
      <c r="A218">
        <f t="shared" si="12"/>
        <v>217</v>
      </c>
      <c r="B218" s="1" t="s">
        <v>499</v>
      </c>
      <c r="C218" s="1"/>
      <c r="D218" s="1"/>
      <c r="E218" t="s">
        <v>323</v>
      </c>
      <c r="F218" t="s">
        <v>467</v>
      </c>
      <c r="G218" t="s">
        <v>784</v>
      </c>
      <c r="H218">
        <v>23650</v>
      </c>
      <c r="J218">
        <f t="shared" si="13"/>
        <v>21758</v>
      </c>
      <c r="K218" t="str">
        <f>VLOOKUP(B218,'[2]RF-Single_Door'!$B$2:$AA$49,26,0)</f>
        <v>A</v>
      </c>
      <c r="L218" t="s">
        <v>73</v>
      </c>
    </row>
    <row r="219" spans="1:12" x14ac:dyDescent="0.25">
      <c r="A219">
        <f t="shared" si="12"/>
        <v>218</v>
      </c>
      <c r="B219" s="1" t="s">
        <v>500</v>
      </c>
      <c r="C219" s="1"/>
      <c r="D219" s="1"/>
      <c r="E219" t="s">
        <v>323</v>
      </c>
      <c r="F219" t="s">
        <v>467</v>
      </c>
      <c r="G219" t="s">
        <v>785</v>
      </c>
      <c r="H219">
        <v>22550</v>
      </c>
      <c r="J219">
        <f t="shared" si="13"/>
        <v>20746</v>
      </c>
      <c r="K219" t="str">
        <f>VLOOKUP(B219,'[2]RF-Single_Door'!$B$2:$AA$49,26,0)</f>
        <v>B</v>
      </c>
      <c r="L219" t="s">
        <v>73</v>
      </c>
    </row>
    <row r="220" spans="1:12" x14ac:dyDescent="0.25">
      <c r="A220">
        <f t="shared" si="12"/>
        <v>219</v>
      </c>
      <c r="B220" s="1" t="s">
        <v>501</v>
      </c>
      <c r="C220" s="1"/>
      <c r="D220" s="1"/>
      <c r="E220" t="s">
        <v>323</v>
      </c>
      <c r="F220" t="s">
        <v>467</v>
      </c>
      <c r="G220" t="s">
        <v>786</v>
      </c>
      <c r="H220">
        <v>25950</v>
      </c>
      <c r="J220">
        <f t="shared" si="13"/>
        <v>23874</v>
      </c>
      <c r="K220" t="str">
        <f>VLOOKUP(B220,'[2]RF-Single_Door'!$B$2:$AA$49,26,0)</f>
        <v>A+</v>
      </c>
      <c r="L220" t="s">
        <v>73</v>
      </c>
    </row>
    <row r="221" spans="1:12" x14ac:dyDescent="0.25">
      <c r="A221">
        <f t="shared" si="12"/>
        <v>220</v>
      </c>
      <c r="B221" s="1" t="s">
        <v>502</v>
      </c>
      <c r="C221" s="1"/>
      <c r="D221" s="1"/>
      <c r="E221" t="s">
        <v>323</v>
      </c>
      <c r="F221" t="s">
        <v>467</v>
      </c>
      <c r="G221" t="s">
        <v>787</v>
      </c>
      <c r="H221">
        <v>18600</v>
      </c>
      <c r="J221">
        <f t="shared" si="13"/>
        <v>17112</v>
      </c>
      <c r="K221" t="str">
        <f>VLOOKUP(B221,'[2]RF-Single_Door'!$B$2:$AA$49,26,0)</f>
        <v>C</v>
      </c>
      <c r="L221" t="s">
        <v>73</v>
      </c>
    </row>
    <row r="222" spans="1:12" x14ac:dyDescent="0.25">
      <c r="A222">
        <f t="shared" si="12"/>
        <v>221</v>
      </c>
      <c r="B222" s="1" t="s">
        <v>503</v>
      </c>
      <c r="C222" s="1"/>
      <c r="D222" s="1"/>
      <c r="E222" t="s">
        <v>323</v>
      </c>
      <c r="F222" t="s">
        <v>467</v>
      </c>
      <c r="G222" t="s">
        <v>788</v>
      </c>
      <c r="H222">
        <v>18600</v>
      </c>
      <c r="J222">
        <f t="shared" si="13"/>
        <v>17112</v>
      </c>
      <c r="K222" t="str">
        <f>VLOOKUP(B222,'[2]RF-Single_Door'!$B$2:$AA$49,26,0)</f>
        <v>C</v>
      </c>
      <c r="L222" t="s">
        <v>73</v>
      </c>
    </row>
    <row r="223" spans="1:12" x14ac:dyDescent="0.25">
      <c r="A223">
        <f t="shared" si="12"/>
        <v>222</v>
      </c>
      <c r="B223" s="1" t="s">
        <v>504</v>
      </c>
      <c r="C223" s="1"/>
      <c r="D223" s="1"/>
      <c r="E223" t="s">
        <v>323</v>
      </c>
      <c r="F223" t="s">
        <v>467</v>
      </c>
      <c r="G223" t="s">
        <v>789</v>
      </c>
      <c r="H223">
        <v>20250</v>
      </c>
      <c r="J223">
        <f t="shared" si="13"/>
        <v>18630</v>
      </c>
      <c r="K223" t="str">
        <f>VLOOKUP(B223,'[2]RF-Single_Door'!$B$2:$AA$49,26,0)</f>
        <v>B</v>
      </c>
      <c r="L223" t="s">
        <v>73</v>
      </c>
    </row>
    <row r="224" spans="1:12" x14ac:dyDescent="0.25">
      <c r="A224">
        <f t="shared" si="12"/>
        <v>223</v>
      </c>
      <c r="B224" s="1" t="s">
        <v>505</v>
      </c>
      <c r="C224" s="1"/>
      <c r="D224" s="1"/>
      <c r="E224" t="s">
        <v>323</v>
      </c>
      <c r="F224" t="s">
        <v>467</v>
      </c>
      <c r="G224" t="s">
        <v>790</v>
      </c>
      <c r="H224">
        <v>19600</v>
      </c>
      <c r="J224">
        <f t="shared" si="13"/>
        <v>18032</v>
      </c>
      <c r="K224" t="str">
        <f>VLOOKUP(B224,'[2]RF-Single_Door'!$B$2:$AA$49,26,0)</f>
        <v>C</v>
      </c>
      <c r="L224" t="s">
        <v>73</v>
      </c>
    </row>
    <row r="225" spans="1:12" x14ac:dyDescent="0.25">
      <c r="A225">
        <f t="shared" si="12"/>
        <v>224</v>
      </c>
      <c r="B225" s="1" t="s">
        <v>506</v>
      </c>
      <c r="C225" s="1"/>
      <c r="D225" s="1"/>
      <c r="E225" t="s">
        <v>323</v>
      </c>
      <c r="F225" t="s">
        <v>467</v>
      </c>
      <c r="G225" t="s">
        <v>791</v>
      </c>
      <c r="H225">
        <v>19600</v>
      </c>
      <c r="J225">
        <f t="shared" si="13"/>
        <v>18032</v>
      </c>
      <c r="K225" t="str">
        <f>VLOOKUP(B225,'[2]RF-Single_Door'!$B$2:$AA$49,26,0)</f>
        <v>C</v>
      </c>
      <c r="L225" t="s">
        <v>73</v>
      </c>
    </row>
    <row r="226" spans="1:12" x14ac:dyDescent="0.25">
      <c r="A226">
        <f t="shared" si="12"/>
        <v>225</v>
      </c>
      <c r="B226" s="1" t="s">
        <v>507</v>
      </c>
      <c r="C226" s="1"/>
      <c r="D226" s="1"/>
      <c r="E226" t="s">
        <v>323</v>
      </c>
      <c r="F226" t="s">
        <v>467</v>
      </c>
      <c r="G226" t="s">
        <v>792</v>
      </c>
      <c r="H226">
        <v>23200</v>
      </c>
      <c r="J226">
        <f t="shared" si="13"/>
        <v>21344</v>
      </c>
      <c r="K226" t="str">
        <f>VLOOKUP(B226,'[2]RF-Single_Door'!$B$2:$AA$49,26,0)</f>
        <v>B</v>
      </c>
      <c r="L226" t="s">
        <v>73</v>
      </c>
    </row>
    <row r="227" spans="1:12" x14ac:dyDescent="0.25">
      <c r="A227">
        <f t="shared" si="12"/>
        <v>226</v>
      </c>
      <c r="B227" s="1" t="s">
        <v>508</v>
      </c>
      <c r="C227" s="1"/>
      <c r="D227" s="1"/>
      <c r="E227" t="s">
        <v>323</v>
      </c>
      <c r="F227" t="s">
        <v>467</v>
      </c>
      <c r="G227" t="s">
        <v>793</v>
      </c>
      <c r="H227">
        <v>22450</v>
      </c>
      <c r="J227">
        <f t="shared" si="13"/>
        <v>20654</v>
      </c>
      <c r="K227" t="str">
        <f>VLOOKUP(B227,'[2]RF-Single_Door'!$B$2:$AA$49,26,0)</f>
        <v>B</v>
      </c>
      <c r="L227" t="s">
        <v>73</v>
      </c>
    </row>
    <row r="228" spans="1:12" x14ac:dyDescent="0.25">
      <c r="A228">
        <f t="shared" si="12"/>
        <v>227</v>
      </c>
      <c r="B228" s="1" t="s">
        <v>509</v>
      </c>
      <c r="C228" s="1"/>
      <c r="D228" s="1"/>
      <c r="E228" t="s">
        <v>323</v>
      </c>
      <c r="F228" t="s">
        <v>467</v>
      </c>
      <c r="G228" t="s">
        <v>794</v>
      </c>
      <c r="H228">
        <v>20250</v>
      </c>
      <c r="J228">
        <f t="shared" si="13"/>
        <v>18630</v>
      </c>
      <c r="K228" t="str">
        <f>VLOOKUP(B228,'[2]RF-Single_Door'!$B$2:$AA$49,26,0)</f>
        <v>B</v>
      </c>
      <c r="L228" t="s">
        <v>73</v>
      </c>
    </row>
    <row r="229" spans="1:12" x14ac:dyDescent="0.25">
      <c r="A229">
        <f t="shared" si="12"/>
        <v>228</v>
      </c>
      <c r="B229" s="3" t="s">
        <v>510</v>
      </c>
      <c r="C229" s="3"/>
      <c r="D229" s="3"/>
      <c r="E229" t="s">
        <v>323</v>
      </c>
      <c r="F229" t="s">
        <v>467</v>
      </c>
      <c r="G229" t="s">
        <v>795</v>
      </c>
      <c r="H229">
        <v>25300</v>
      </c>
      <c r="J229">
        <f t="shared" si="13"/>
        <v>23276</v>
      </c>
      <c r="K229" t="str">
        <f>VLOOKUP(B229,'[2]RF-Single_Door'!$B$2:$AA$49,26,0)</f>
        <v>A+</v>
      </c>
      <c r="L229" t="s">
        <v>73</v>
      </c>
    </row>
    <row r="230" spans="1:12" x14ac:dyDescent="0.25">
      <c r="A230">
        <f t="shared" si="12"/>
        <v>229</v>
      </c>
      <c r="B230" s="3" t="s">
        <v>511</v>
      </c>
      <c r="C230" s="3"/>
      <c r="D230" s="3"/>
      <c r="E230" t="s">
        <v>323</v>
      </c>
      <c r="F230" t="s">
        <v>467</v>
      </c>
      <c r="G230" t="s">
        <v>796</v>
      </c>
      <c r="H230">
        <v>18600</v>
      </c>
      <c r="J230">
        <f t="shared" si="13"/>
        <v>17112</v>
      </c>
      <c r="K230" t="str">
        <f>VLOOKUP(B230,'[2]RF-Single_Door'!$B$2:$AA$49,26,0)</f>
        <v>C</v>
      </c>
      <c r="L230" t="s">
        <v>73</v>
      </c>
    </row>
    <row r="231" spans="1:12" x14ac:dyDescent="0.25">
      <c r="A231">
        <f t="shared" si="12"/>
        <v>230</v>
      </c>
      <c r="B231" s="3" t="s">
        <v>512</v>
      </c>
      <c r="C231" s="3"/>
      <c r="D231" s="3"/>
      <c r="E231" t="s">
        <v>323</v>
      </c>
      <c r="F231" t="s">
        <v>467</v>
      </c>
      <c r="G231" t="s">
        <v>797</v>
      </c>
      <c r="H231">
        <v>18050</v>
      </c>
      <c r="J231">
        <f t="shared" si="13"/>
        <v>16606</v>
      </c>
      <c r="K231" t="str">
        <f>VLOOKUP(B231,'[2]RF-Single_Door'!$B$2:$AA$49,26,0)</f>
        <v>C</v>
      </c>
      <c r="L231" t="s">
        <v>73</v>
      </c>
    </row>
    <row r="232" spans="1:12" x14ac:dyDescent="0.25">
      <c r="A232">
        <f t="shared" si="12"/>
        <v>231</v>
      </c>
      <c r="B232" s="3" t="s">
        <v>513</v>
      </c>
      <c r="C232" s="3"/>
      <c r="D232" s="3"/>
      <c r="E232" t="s">
        <v>323</v>
      </c>
      <c r="F232" t="s">
        <v>467</v>
      </c>
      <c r="G232" t="s">
        <v>798</v>
      </c>
      <c r="H232">
        <v>18050</v>
      </c>
      <c r="J232">
        <f t="shared" si="13"/>
        <v>16606</v>
      </c>
      <c r="K232" t="str">
        <f>VLOOKUP(B232,'[2]RF-Single_Door'!$B$2:$AA$49,26,0)</f>
        <v>C</v>
      </c>
      <c r="L232" t="s">
        <v>73</v>
      </c>
    </row>
    <row r="233" spans="1:12" x14ac:dyDescent="0.25">
      <c r="A233">
        <f t="shared" si="12"/>
        <v>232</v>
      </c>
      <c r="B233" s="3" t="s">
        <v>514</v>
      </c>
      <c r="C233" s="3"/>
      <c r="D233" s="3"/>
      <c r="E233" t="s">
        <v>323</v>
      </c>
      <c r="F233" t="s">
        <v>467</v>
      </c>
      <c r="G233" t="s">
        <v>799</v>
      </c>
      <c r="H233">
        <v>17050</v>
      </c>
      <c r="J233">
        <f t="shared" si="13"/>
        <v>15686</v>
      </c>
      <c r="K233" t="str">
        <f>VLOOKUP(B233,'[2]RF-Single_Door'!$B$2:$AA$49,26,0)</f>
        <v>C</v>
      </c>
      <c r="L233" t="s">
        <v>73</v>
      </c>
    </row>
    <row r="234" spans="1:12" x14ac:dyDescent="0.25">
      <c r="A234">
        <f t="shared" si="12"/>
        <v>233</v>
      </c>
      <c r="B234" s="1" t="s">
        <v>515</v>
      </c>
      <c r="C234" s="1"/>
      <c r="D234" s="1"/>
      <c r="E234" t="s">
        <v>323</v>
      </c>
      <c r="F234" t="s">
        <v>467</v>
      </c>
      <c r="G234" t="s">
        <v>800</v>
      </c>
      <c r="H234">
        <v>21450</v>
      </c>
      <c r="J234">
        <f t="shared" si="13"/>
        <v>19734</v>
      </c>
      <c r="K234" t="str">
        <f>VLOOKUP(B234,'[2]RF-Single_Door'!$B$2:$AA$49,26,0)</f>
        <v>B</v>
      </c>
      <c r="L234" t="s">
        <v>73</v>
      </c>
    </row>
    <row r="235" spans="1:12" x14ac:dyDescent="0.25">
      <c r="A235">
        <f t="shared" si="12"/>
        <v>234</v>
      </c>
      <c r="B235" s="1" t="s">
        <v>516</v>
      </c>
      <c r="C235" s="1"/>
      <c r="D235" s="1"/>
      <c r="E235" t="s">
        <v>323</v>
      </c>
      <c r="F235" t="s">
        <v>467</v>
      </c>
      <c r="G235" t="s">
        <v>801</v>
      </c>
      <c r="H235">
        <v>20550</v>
      </c>
      <c r="J235">
        <f t="shared" si="13"/>
        <v>18906</v>
      </c>
      <c r="K235" t="str">
        <f>VLOOKUP(B235,'[2]RF-Single_Door'!$B$2:$AA$49,26,0)</f>
        <v>B</v>
      </c>
      <c r="L235" t="s">
        <v>73</v>
      </c>
    </row>
    <row r="236" spans="1:12" x14ac:dyDescent="0.25">
      <c r="A236">
        <f t="shared" si="12"/>
        <v>235</v>
      </c>
      <c r="B236" s="1" t="s">
        <v>517</v>
      </c>
      <c r="C236" s="1"/>
      <c r="D236" s="1"/>
      <c r="E236" t="s">
        <v>323</v>
      </c>
      <c r="F236" t="s">
        <v>467</v>
      </c>
      <c r="G236" t="s">
        <v>802</v>
      </c>
      <c r="H236">
        <v>20550</v>
      </c>
      <c r="J236">
        <f t="shared" si="13"/>
        <v>18906</v>
      </c>
      <c r="K236" t="str">
        <f>VLOOKUP(B236,'[2]RF-Single_Door'!$B$2:$AA$49,26,0)</f>
        <v>B</v>
      </c>
      <c r="L236" t="s">
        <v>73</v>
      </c>
    </row>
    <row r="237" spans="1:12" x14ac:dyDescent="0.25">
      <c r="A237">
        <f t="shared" si="12"/>
        <v>236</v>
      </c>
      <c r="B237" s="3" t="s">
        <v>518</v>
      </c>
      <c r="C237" s="3"/>
      <c r="D237" s="3"/>
      <c r="E237" t="s">
        <v>323</v>
      </c>
      <c r="F237" t="s">
        <v>467</v>
      </c>
      <c r="G237" t="s">
        <v>803</v>
      </c>
      <c r="H237">
        <v>28400</v>
      </c>
      <c r="J237">
        <f t="shared" si="13"/>
        <v>26128</v>
      </c>
      <c r="K237" t="str">
        <f>VLOOKUP(B237,'[2]RF-Single_Door'!$B$2:$AA$49,26,0)</f>
        <v>A++</v>
      </c>
      <c r="L237" t="s">
        <v>73</v>
      </c>
    </row>
    <row r="238" spans="1:12" x14ac:dyDescent="0.25">
      <c r="A238">
        <f t="shared" si="12"/>
        <v>237</v>
      </c>
      <c r="B238" s="3" t="s">
        <v>519</v>
      </c>
      <c r="C238" s="3"/>
      <c r="D238" s="3"/>
      <c r="E238" t="s">
        <v>323</v>
      </c>
      <c r="F238" t="s">
        <v>467</v>
      </c>
      <c r="G238" t="s">
        <v>804</v>
      </c>
      <c r="H238">
        <v>28400</v>
      </c>
      <c r="J238">
        <f t="shared" si="13"/>
        <v>26128</v>
      </c>
      <c r="K238" t="str">
        <f>VLOOKUP(B238,'[2]RF-Single_Door'!$B$2:$AA$49,26,0)</f>
        <v>A++</v>
      </c>
      <c r="L238" t="s">
        <v>73</v>
      </c>
    </row>
    <row r="239" spans="1:12" x14ac:dyDescent="0.25">
      <c r="A239">
        <f t="shared" si="12"/>
        <v>238</v>
      </c>
      <c r="B239" s="1" t="s">
        <v>520</v>
      </c>
      <c r="C239" s="1"/>
      <c r="D239" s="1"/>
      <c r="E239" t="s">
        <v>323</v>
      </c>
      <c r="F239" t="s">
        <v>467</v>
      </c>
      <c r="G239" t="s">
        <v>805</v>
      </c>
      <c r="H239">
        <v>22450</v>
      </c>
      <c r="J239">
        <f t="shared" si="13"/>
        <v>20654</v>
      </c>
      <c r="K239" t="str">
        <f>VLOOKUP(B239,'[2]RF-Single_Door'!$B$2:$AA$49,26,0)</f>
        <v>B</v>
      </c>
      <c r="L239" t="s">
        <v>73</v>
      </c>
    </row>
    <row r="240" spans="1:12" x14ac:dyDescent="0.25">
      <c r="A240">
        <f t="shared" si="12"/>
        <v>239</v>
      </c>
      <c r="B240" s="1" t="s">
        <v>521</v>
      </c>
      <c r="C240" s="1"/>
      <c r="D240" s="1"/>
      <c r="E240" t="s">
        <v>323</v>
      </c>
      <c r="F240" t="s">
        <v>467</v>
      </c>
      <c r="G240" t="s">
        <v>806</v>
      </c>
      <c r="H240">
        <v>24200</v>
      </c>
      <c r="J240">
        <f t="shared" si="13"/>
        <v>22264</v>
      </c>
      <c r="K240" t="str">
        <f>VLOOKUP(B240,'[2]RF-Single_Door'!$B$2:$AA$49,26,0)</f>
        <v>A</v>
      </c>
      <c r="L240" t="s">
        <v>73</v>
      </c>
    </row>
    <row r="241" spans="1:12" x14ac:dyDescent="0.25">
      <c r="A241">
        <f t="shared" si="12"/>
        <v>240</v>
      </c>
      <c r="B241" s="1" t="s">
        <v>522</v>
      </c>
      <c r="C241" s="1"/>
      <c r="D241" s="1"/>
      <c r="E241" t="s">
        <v>323</v>
      </c>
      <c r="F241" t="s">
        <v>467</v>
      </c>
      <c r="G241" t="s">
        <v>807</v>
      </c>
      <c r="H241">
        <v>24200</v>
      </c>
      <c r="J241">
        <f t="shared" si="13"/>
        <v>22264</v>
      </c>
      <c r="K241" t="str">
        <f>VLOOKUP(B241,'[2]RF-Single_Door'!$B$2:$AA$49,26,0)</f>
        <v>A</v>
      </c>
      <c r="L241" t="s">
        <v>73</v>
      </c>
    </row>
    <row r="242" spans="1:12" x14ac:dyDescent="0.25">
      <c r="A242">
        <f t="shared" si="12"/>
        <v>241</v>
      </c>
      <c r="B242" s="1" t="s">
        <v>523</v>
      </c>
      <c r="C242" s="1"/>
      <c r="D242" s="1"/>
      <c r="E242" t="s">
        <v>323</v>
      </c>
      <c r="F242" t="s">
        <v>467</v>
      </c>
      <c r="G242" t="s">
        <v>808</v>
      </c>
      <c r="H242">
        <v>30350</v>
      </c>
      <c r="J242">
        <f t="shared" si="13"/>
        <v>27922</v>
      </c>
      <c r="K242" t="str">
        <f>VLOOKUP(B242,'[2]RF-Single_Door'!$B$2:$AA$49,26,0)</f>
        <v>A++</v>
      </c>
      <c r="L242" t="s">
        <v>73</v>
      </c>
    </row>
    <row r="243" spans="1:12" x14ac:dyDescent="0.25">
      <c r="A243">
        <f t="shared" si="12"/>
        <v>242</v>
      </c>
      <c r="B243" s="1" t="s">
        <v>524</v>
      </c>
      <c r="C243" s="1"/>
      <c r="D243" s="1"/>
      <c r="E243" t="s">
        <v>323</v>
      </c>
      <c r="F243" t="s">
        <v>467</v>
      </c>
      <c r="G243" t="s">
        <v>809</v>
      </c>
      <c r="H243">
        <v>25200</v>
      </c>
      <c r="J243">
        <f t="shared" si="13"/>
        <v>23184</v>
      </c>
      <c r="K243" t="str">
        <f>VLOOKUP(B243,'[2]RF-Single_Door'!$B$2:$AA$49,26,0)</f>
        <v>A+</v>
      </c>
      <c r="L243" t="s">
        <v>73</v>
      </c>
    </row>
    <row r="244" spans="1:12" x14ac:dyDescent="0.25">
      <c r="A244">
        <f t="shared" si="12"/>
        <v>243</v>
      </c>
      <c r="B244" s="1" t="s">
        <v>525</v>
      </c>
      <c r="C244" s="1"/>
      <c r="D244" s="1"/>
      <c r="E244" t="s">
        <v>323</v>
      </c>
      <c r="F244" t="s">
        <v>467</v>
      </c>
      <c r="G244" t="s">
        <v>810</v>
      </c>
      <c r="H244">
        <v>25200</v>
      </c>
      <c r="J244">
        <f t="shared" si="13"/>
        <v>23184</v>
      </c>
      <c r="K244" t="str">
        <f>VLOOKUP(B244,'[2]RF-Single_Door'!$B$2:$AA$49,26,0)</f>
        <v>A+</v>
      </c>
      <c r="L244" t="s">
        <v>73</v>
      </c>
    </row>
    <row r="245" spans="1:12" x14ac:dyDescent="0.25">
      <c r="A245">
        <f t="shared" si="12"/>
        <v>244</v>
      </c>
      <c r="B245" s="1" t="s">
        <v>526</v>
      </c>
      <c r="C245" s="1"/>
      <c r="D245" s="1"/>
      <c r="E245" t="s">
        <v>323</v>
      </c>
      <c r="F245" t="s">
        <v>467</v>
      </c>
      <c r="G245" t="s">
        <v>811</v>
      </c>
      <c r="H245">
        <v>31000</v>
      </c>
      <c r="J245">
        <f t="shared" si="13"/>
        <v>28520</v>
      </c>
      <c r="K245" t="str">
        <f>VLOOKUP(B245,'[2]RF-Single_Door'!$B$2:$AA$49,26,0)</f>
        <v>A++</v>
      </c>
      <c r="L245" t="s">
        <v>73</v>
      </c>
    </row>
    <row r="246" spans="1:12" x14ac:dyDescent="0.25">
      <c r="A246">
        <f t="shared" si="12"/>
        <v>245</v>
      </c>
      <c r="B246" s="1" t="s">
        <v>527</v>
      </c>
      <c r="C246" s="1"/>
      <c r="D246" s="1"/>
      <c r="E246" t="s">
        <v>323</v>
      </c>
      <c r="F246" t="s">
        <v>467</v>
      </c>
      <c r="G246" t="s">
        <v>812</v>
      </c>
      <c r="H246">
        <v>19700</v>
      </c>
      <c r="J246">
        <f t="shared" si="13"/>
        <v>18124</v>
      </c>
      <c r="K246" t="str">
        <f>VLOOKUP(B246,'[2]RF-Single_Door'!$B$2:$AA$49,26,0)</f>
        <v>C</v>
      </c>
      <c r="L246" t="s">
        <v>73</v>
      </c>
    </row>
    <row r="247" spans="1:12" x14ac:dyDescent="0.25">
      <c r="A247">
        <f t="shared" si="12"/>
        <v>246</v>
      </c>
      <c r="B247" s="1" t="s">
        <v>536</v>
      </c>
      <c r="C247" s="10" t="e">
        <v>#N/A</v>
      </c>
      <c r="D247" s="10"/>
      <c r="E247" t="s">
        <v>323</v>
      </c>
      <c r="F247" t="s">
        <v>559</v>
      </c>
      <c r="G247" t="s">
        <v>813</v>
      </c>
      <c r="H247">
        <v>42450</v>
      </c>
      <c r="J247" s="2">
        <f>H247-(H247*0.08)</f>
        <v>39054</v>
      </c>
      <c r="K247" s="2" t="str">
        <f>VLOOKUP(B247,'[2]RF-Double_Door'!$B$2:$AB$24,27,0)</f>
        <v>B</v>
      </c>
      <c r="L247" t="s">
        <v>73</v>
      </c>
    </row>
    <row r="248" spans="1:12" x14ac:dyDescent="0.25">
      <c r="A248">
        <f t="shared" si="12"/>
        <v>247</v>
      </c>
      <c r="B248" s="1" t="s">
        <v>537</v>
      </c>
      <c r="C248" s="10" t="e">
        <v>#N/A</v>
      </c>
      <c r="D248" s="10"/>
      <c r="E248" t="s">
        <v>323</v>
      </c>
      <c r="F248" t="s">
        <v>559</v>
      </c>
      <c r="G248" t="s">
        <v>814</v>
      </c>
      <c r="H248">
        <v>53250</v>
      </c>
      <c r="J248" s="2">
        <f t="shared" ref="J248:J269" si="14">H248-(H248*0.08)</f>
        <v>48990</v>
      </c>
      <c r="K248" s="2" t="str">
        <f>VLOOKUP(B248,'[2]RF-Double_Door'!$B$2:$AB$24,27,0)</f>
        <v>A++</v>
      </c>
      <c r="L248" t="s">
        <v>73</v>
      </c>
    </row>
    <row r="249" spans="1:12" x14ac:dyDescent="0.25">
      <c r="A249">
        <f t="shared" si="12"/>
        <v>248</v>
      </c>
      <c r="B249" s="1" t="s">
        <v>538</v>
      </c>
      <c r="C249" s="10" t="e">
        <v>#N/A</v>
      </c>
      <c r="D249" s="10"/>
      <c r="E249" t="s">
        <v>323</v>
      </c>
      <c r="F249" t="s">
        <v>559</v>
      </c>
      <c r="G249" t="s">
        <v>815</v>
      </c>
      <c r="H249">
        <v>42450</v>
      </c>
      <c r="J249" s="2">
        <f t="shared" si="14"/>
        <v>39054</v>
      </c>
      <c r="K249" s="2" t="str">
        <f>VLOOKUP(B249,'[2]RF-Double_Door'!$B$2:$AB$24,27,0)</f>
        <v>B</v>
      </c>
      <c r="L249" t="s">
        <v>73</v>
      </c>
    </row>
    <row r="250" spans="1:12" x14ac:dyDescent="0.25">
      <c r="A250">
        <f t="shared" si="12"/>
        <v>249</v>
      </c>
      <c r="B250" s="1" t="s">
        <v>539</v>
      </c>
      <c r="C250" s="10" t="e">
        <v>#N/A</v>
      </c>
      <c r="D250" s="10"/>
      <c r="E250" t="s">
        <v>323</v>
      </c>
      <c r="F250" t="s">
        <v>559</v>
      </c>
      <c r="G250" t="s">
        <v>816</v>
      </c>
      <c r="H250">
        <v>57100</v>
      </c>
      <c r="J250" s="2">
        <f t="shared" si="14"/>
        <v>52532</v>
      </c>
      <c r="K250" s="2" t="str">
        <f>VLOOKUP(B250,'[2]RF-Double_Door'!$B$2:$AB$24,27,0)</f>
        <v>A++</v>
      </c>
      <c r="L250" t="s">
        <v>73</v>
      </c>
    </row>
    <row r="251" spans="1:12" x14ac:dyDescent="0.25">
      <c r="A251">
        <f t="shared" si="12"/>
        <v>250</v>
      </c>
      <c r="B251" s="1" t="s">
        <v>540</v>
      </c>
      <c r="C251" s="10" t="e">
        <v>#N/A</v>
      </c>
      <c r="D251" s="10"/>
      <c r="E251" t="s">
        <v>323</v>
      </c>
      <c r="F251" t="s">
        <v>559</v>
      </c>
      <c r="G251" t="s">
        <v>817</v>
      </c>
      <c r="H251">
        <v>53250</v>
      </c>
      <c r="J251" s="2">
        <f t="shared" si="14"/>
        <v>48990</v>
      </c>
      <c r="K251" s="2" t="str">
        <f>VLOOKUP(B251,'[2]RF-Double_Door'!$B$2:$AB$24,27,0)</f>
        <v>A++</v>
      </c>
      <c r="L251" t="s">
        <v>73</v>
      </c>
    </row>
    <row r="252" spans="1:12" x14ac:dyDescent="0.25">
      <c r="A252">
        <f t="shared" si="12"/>
        <v>251</v>
      </c>
      <c r="B252" s="1" t="s">
        <v>541</v>
      </c>
      <c r="C252" s="10" t="e">
        <v>#N/A</v>
      </c>
      <c r="D252" s="10"/>
      <c r="E252" t="s">
        <v>323</v>
      </c>
      <c r="F252" t="s">
        <v>559</v>
      </c>
      <c r="G252" t="s">
        <v>818</v>
      </c>
      <c r="H252">
        <v>42000</v>
      </c>
      <c r="J252" s="2">
        <f t="shared" si="14"/>
        <v>38640</v>
      </c>
      <c r="K252" s="2" t="str">
        <f>VLOOKUP(B252,'[2]RF-Double_Door'!$B$2:$AB$24,27,0)</f>
        <v>B</v>
      </c>
      <c r="L252" t="s">
        <v>73</v>
      </c>
    </row>
    <row r="253" spans="1:12" x14ac:dyDescent="0.25">
      <c r="A253">
        <f t="shared" si="12"/>
        <v>252</v>
      </c>
      <c r="B253" s="1" t="s">
        <v>542</v>
      </c>
      <c r="C253" s="10" t="e">
        <v>#N/A</v>
      </c>
      <c r="D253" s="10"/>
      <c r="E253" t="s">
        <v>323</v>
      </c>
      <c r="F253" t="s">
        <v>559</v>
      </c>
      <c r="G253" t="s">
        <v>819</v>
      </c>
      <c r="H253">
        <v>53250</v>
      </c>
      <c r="J253" s="2">
        <f t="shared" si="14"/>
        <v>48990</v>
      </c>
      <c r="K253" s="2" t="str">
        <f>VLOOKUP(B253,'[2]RF-Double_Door'!$B$2:$AB$24,27,0)</f>
        <v>A++</v>
      </c>
      <c r="L253" t="s">
        <v>73</v>
      </c>
    </row>
    <row r="254" spans="1:12" x14ac:dyDescent="0.25">
      <c r="A254">
        <f t="shared" si="12"/>
        <v>253</v>
      </c>
      <c r="B254" s="1" t="s">
        <v>543</v>
      </c>
      <c r="C254" s="10" t="e">
        <v>#N/A</v>
      </c>
      <c r="D254" s="10"/>
      <c r="E254" t="s">
        <v>323</v>
      </c>
      <c r="F254" t="s">
        <v>559</v>
      </c>
      <c r="G254" t="s">
        <v>820</v>
      </c>
      <c r="H254">
        <v>47300</v>
      </c>
      <c r="J254" s="2">
        <f t="shared" si="14"/>
        <v>43516</v>
      </c>
      <c r="K254" s="2" t="str">
        <f>VLOOKUP(B254,'[2]RF-Double_Door'!$B$2:$AB$24,27,0)</f>
        <v>A+</v>
      </c>
      <c r="L254" t="s">
        <v>73</v>
      </c>
    </row>
    <row r="255" spans="1:12" x14ac:dyDescent="0.25">
      <c r="A255">
        <f t="shared" si="12"/>
        <v>254</v>
      </c>
      <c r="B255" s="1" t="s">
        <v>544</v>
      </c>
      <c r="C255" s="10" t="e">
        <v>#N/A</v>
      </c>
      <c r="D255" s="10"/>
      <c r="E255" t="s">
        <v>323</v>
      </c>
      <c r="F255" t="s">
        <v>559</v>
      </c>
      <c r="G255" t="s">
        <v>821</v>
      </c>
      <c r="H255">
        <v>47300</v>
      </c>
      <c r="J255" s="2">
        <f t="shared" si="14"/>
        <v>43516</v>
      </c>
      <c r="K255" s="2" t="str">
        <f>VLOOKUP(B255,'[2]RF-Double_Door'!$B$2:$AB$24,27,0)</f>
        <v>A+</v>
      </c>
      <c r="L255" t="s">
        <v>73</v>
      </c>
    </row>
    <row r="256" spans="1:12" x14ac:dyDescent="0.25">
      <c r="A256">
        <f t="shared" si="12"/>
        <v>255</v>
      </c>
      <c r="B256" s="1" t="s">
        <v>545</v>
      </c>
      <c r="C256" s="10" t="e">
        <v>#N/A</v>
      </c>
      <c r="D256" s="10"/>
      <c r="E256" t="s">
        <v>323</v>
      </c>
      <c r="F256" t="s">
        <v>559</v>
      </c>
      <c r="G256" t="s">
        <v>822</v>
      </c>
      <c r="H256">
        <v>44000</v>
      </c>
      <c r="J256" s="2">
        <f t="shared" si="14"/>
        <v>40480</v>
      </c>
      <c r="K256" s="2" t="str">
        <f>VLOOKUP(B256,'[2]RF-Double_Door'!$B$2:$AB$24,27,0)</f>
        <v>A</v>
      </c>
      <c r="L256" t="s">
        <v>73</v>
      </c>
    </row>
    <row r="257" spans="1:12" x14ac:dyDescent="0.25">
      <c r="A257">
        <f t="shared" si="12"/>
        <v>256</v>
      </c>
      <c r="B257" s="1" t="s">
        <v>546</v>
      </c>
      <c r="C257" s="10" t="e">
        <v>#N/A</v>
      </c>
      <c r="D257" s="10"/>
      <c r="E257" t="s">
        <v>323</v>
      </c>
      <c r="F257" t="s">
        <v>559</v>
      </c>
      <c r="G257" t="s">
        <v>823</v>
      </c>
      <c r="H257">
        <v>42450</v>
      </c>
      <c r="J257" s="2">
        <f t="shared" si="14"/>
        <v>39054</v>
      </c>
      <c r="K257" s="2" t="str">
        <f>VLOOKUP(B257,'[2]RF-Double_Door'!$B$2:$AB$24,27,0)</f>
        <v>B</v>
      </c>
      <c r="L257" t="s">
        <v>73</v>
      </c>
    </row>
    <row r="258" spans="1:12" x14ac:dyDescent="0.25">
      <c r="A258">
        <f t="shared" si="12"/>
        <v>257</v>
      </c>
      <c r="B258" s="1" t="s">
        <v>547</v>
      </c>
      <c r="C258" s="10" t="e">
        <v>#N/A</v>
      </c>
      <c r="D258" s="10"/>
      <c r="E258" t="s">
        <v>323</v>
      </c>
      <c r="F258" t="s">
        <v>559</v>
      </c>
      <c r="G258" t="s">
        <v>824</v>
      </c>
      <c r="H258">
        <v>53250</v>
      </c>
      <c r="J258" s="2">
        <f t="shared" si="14"/>
        <v>48990</v>
      </c>
      <c r="K258" s="2" t="str">
        <f>VLOOKUP(B258,'[2]RF-Double_Door'!$B$2:$AB$24,27,0)</f>
        <v>A++</v>
      </c>
      <c r="L258" t="s">
        <v>73</v>
      </c>
    </row>
    <row r="259" spans="1:12" x14ac:dyDescent="0.25">
      <c r="A259">
        <f t="shared" ref="A259:A269" si="15">ROW(B258)</f>
        <v>258</v>
      </c>
      <c r="B259" s="1" t="s">
        <v>548</v>
      </c>
      <c r="C259" s="10" t="e">
        <v>#N/A</v>
      </c>
      <c r="D259" s="10"/>
      <c r="E259" t="s">
        <v>323</v>
      </c>
      <c r="F259" t="s">
        <v>559</v>
      </c>
      <c r="G259" t="s">
        <v>825</v>
      </c>
      <c r="H259">
        <v>46860</v>
      </c>
      <c r="J259" s="2">
        <f t="shared" si="14"/>
        <v>43111.199999999997</v>
      </c>
      <c r="K259" s="2" t="str">
        <f>VLOOKUP(B259,'[2]RF-Double_Door'!$B$2:$AB$24,27,0)</f>
        <v>A+</v>
      </c>
      <c r="L259" t="s">
        <v>73</v>
      </c>
    </row>
    <row r="260" spans="1:12" x14ac:dyDescent="0.25">
      <c r="A260">
        <f t="shared" si="15"/>
        <v>259</v>
      </c>
      <c r="B260" s="1" t="s">
        <v>549</v>
      </c>
      <c r="C260" s="10" t="e">
        <v>#N/A</v>
      </c>
      <c r="D260" s="10"/>
      <c r="E260" t="s">
        <v>323</v>
      </c>
      <c r="F260" t="s">
        <v>559</v>
      </c>
      <c r="G260" t="s">
        <v>826</v>
      </c>
      <c r="H260">
        <v>32450</v>
      </c>
      <c r="J260" s="2">
        <f t="shared" si="14"/>
        <v>29854</v>
      </c>
      <c r="K260" s="2" t="str">
        <f>VLOOKUP(B260,'[2]RF-Double_Door'!$B$2:$AB$24,27,0)</f>
        <v>C</v>
      </c>
      <c r="L260" t="s">
        <v>73</v>
      </c>
    </row>
    <row r="261" spans="1:12" x14ac:dyDescent="0.25">
      <c r="A261">
        <f t="shared" si="15"/>
        <v>260</v>
      </c>
      <c r="B261" s="1" t="s">
        <v>550</v>
      </c>
      <c r="C261" s="10" t="e">
        <v>#N/A</v>
      </c>
      <c r="D261" s="10"/>
      <c r="E261" t="s">
        <v>323</v>
      </c>
      <c r="F261" t="s">
        <v>559</v>
      </c>
      <c r="G261" t="s">
        <v>827</v>
      </c>
      <c r="H261">
        <v>35650</v>
      </c>
      <c r="J261" s="2">
        <f t="shared" si="14"/>
        <v>32798</v>
      </c>
      <c r="K261" s="2" t="str">
        <f>VLOOKUP(B261,'[2]RF-Double_Door'!$B$2:$AB$24,27,0)</f>
        <v>C</v>
      </c>
      <c r="L261" t="s">
        <v>73</v>
      </c>
    </row>
    <row r="262" spans="1:12" x14ac:dyDescent="0.25">
      <c r="A262">
        <f t="shared" si="15"/>
        <v>261</v>
      </c>
      <c r="B262" s="1" t="s">
        <v>551</v>
      </c>
      <c r="C262" s="10" t="e">
        <v>#N/A</v>
      </c>
      <c r="D262" s="10"/>
      <c r="E262" t="s">
        <v>323</v>
      </c>
      <c r="F262" t="s">
        <v>559</v>
      </c>
      <c r="G262" t="s">
        <v>828</v>
      </c>
      <c r="H262">
        <v>36500</v>
      </c>
      <c r="J262" s="2">
        <f t="shared" si="14"/>
        <v>33580</v>
      </c>
      <c r="K262" s="2" t="str">
        <f>VLOOKUP(B262,'[2]RF-Double_Door'!$B$2:$AB$24,27,0)</f>
        <v>C</v>
      </c>
      <c r="L262" t="s">
        <v>73</v>
      </c>
    </row>
    <row r="263" spans="1:12" x14ac:dyDescent="0.25">
      <c r="A263">
        <f t="shared" si="15"/>
        <v>262</v>
      </c>
      <c r="B263" s="1" t="s">
        <v>552</v>
      </c>
      <c r="C263" s="10" t="e">
        <v>#N/A</v>
      </c>
      <c r="D263" s="10"/>
      <c r="E263" t="s">
        <v>323</v>
      </c>
      <c r="F263" t="s">
        <v>559</v>
      </c>
      <c r="G263" t="s">
        <v>829</v>
      </c>
      <c r="H263">
        <v>33450</v>
      </c>
      <c r="J263" s="2">
        <f t="shared" si="14"/>
        <v>30774</v>
      </c>
      <c r="K263" s="2" t="str">
        <f>VLOOKUP(B263,'[2]RF-Double_Door'!$B$2:$AB$24,27,0)</f>
        <v>C</v>
      </c>
      <c r="L263" t="s">
        <v>73</v>
      </c>
    </row>
    <row r="264" spans="1:12" x14ac:dyDescent="0.25">
      <c r="A264">
        <f t="shared" si="15"/>
        <v>263</v>
      </c>
      <c r="B264" s="1" t="s">
        <v>553</v>
      </c>
      <c r="C264" s="10" t="e">
        <v>#N/A</v>
      </c>
      <c r="D264" s="10"/>
      <c r="E264" t="s">
        <v>323</v>
      </c>
      <c r="F264" t="s">
        <v>559</v>
      </c>
      <c r="G264" t="s">
        <v>830</v>
      </c>
      <c r="H264">
        <v>39400</v>
      </c>
      <c r="J264" s="2">
        <f t="shared" si="14"/>
        <v>36248</v>
      </c>
      <c r="K264" s="2" t="str">
        <f>VLOOKUP(B264,'[2]RF-Double_Door'!$B$2:$AB$24,27,0)</f>
        <v>B</v>
      </c>
      <c r="L264" t="s">
        <v>73</v>
      </c>
    </row>
    <row r="265" spans="1:12" x14ac:dyDescent="0.25">
      <c r="A265">
        <f t="shared" si="15"/>
        <v>264</v>
      </c>
      <c r="B265" s="1" t="s">
        <v>554</v>
      </c>
      <c r="C265" s="10" t="e">
        <v>#N/A</v>
      </c>
      <c r="D265" s="10"/>
      <c r="E265" t="s">
        <v>323</v>
      </c>
      <c r="F265" t="s">
        <v>559</v>
      </c>
      <c r="G265" t="s">
        <v>831</v>
      </c>
      <c r="H265">
        <v>39700</v>
      </c>
      <c r="J265" s="2">
        <f t="shared" si="14"/>
        <v>36524</v>
      </c>
      <c r="K265" s="2" t="str">
        <f>VLOOKUP(B265,'[2]RF-Double_Door'!$B$2:$AB$24,27,0)</f>
        <v>B</v>
      </c>
      <c r="L265" t="s">
        <v>73</v>
      </c>
    </row>
    <row r="266" spans="1:12" x14ac:dyDescent="0.25">
      <c r="A266">
        <f t="shared" si="15"/>
        <v>265</v>
      </c>
      <c r="B266" s="1" t="s">
        <v>555</v>
      </c>
      <c r="C266" s="10" t="e">
        <v>#N/A</v>
      </c>
      <c r="D266" s="10"/>
      <c r="E266" t="s">
        <v>323</v>
      </c>
      <c r="F266" t="s">
        <v>559</v>
      </c>
      <c r="G266" t="s">
        <v>832</v>
      </c>
      <c r="H266">
        <v>39400</v>
      </c>
      <c r="J266" s="2">
        <f t="shared" si="14"/>
        <v>36248</v>
      </c>
      <c r="K266" s="2" t="str">
        <f>VLOOKUP(B266,'[2]RF-Double_Door'!$B$2:$AB$24,27,0)</f>
        <v>B</v>
      </c>
      <c r="L266" t="s">
        <v>73</v>
      </c>
    </row>
    <row r="267" spans="1:12" x14ac:dyDescent="0.25">
      <c r="A267">
        <f t="shared" si="15"/>
        <v>266</v>
      </c>
      <c r="B267" s="1" t="s">
        <v>556</v>
      </c>
      <c r="C267" s="10" t="e">
        <v>#N/A</v>
      </c>
      <c r="D267" s="10"/>
      <c r="E267" t="s">
        <v>323</v>
      </c>
      <c r="F267" t="s">
        <v>559</v>
      </c>
      <c r="G267" t="s">
        <v>833</v>
      </c>
      <c r="H267">
        <v>36050</v>
      </c>
      <c r="J267" s="2">
        <f t="shared" si="14"/>
        <v>33166</v>
      </c>
      <c r="K267" s="2" t="str">
        <f>VLOOKUP(B267,'[2]RF-Double_Door'!$B$2:$AB$24,27,0)</f>
        <v>C</v>
      </c>
      <c r="L267" t="s">
        <v>73</v>
      </c>
    </row>
    <row r="268" spans="1:12" x14ac:dyDescent="0.25">
      <c r="A268">
        <f t="shared" si="15"/>
        <v>267</v>
      </c>
      <c r="B268" s="1" t="s">
        <v>557</v>
      </c>
      <c r="C268" s="10" t="e">
        <v>#N/A</v>
      </c>
      <c r="D268" s="10"/>
      <c r="E268" t="s">
        <v>323</v>
      </c>
      <c r="F268" t="s">
        <v>559</v>
      </c>
      <c r="G268" t="s">
        <v>834</v>
      </c>
      <c r="H268">
        <v>41900</v>
      </c>
      <c r="J268" s="2">
        <f t="shared" si="14"/>
        <v>38548</v>
      </c>
      <c r="K268" s="2" t="str">
        <f>VLOOKUP(B268,'[2]RF-Double_Door'!$B$2:$AB$24,27,0)</f>
        <v>B</v>
      </c>
      <c r="L268" t="s">
        <v>73</v>
      </c>
    </row>
    <row r="269" spans="1:12" x14ac:dyDescent="0.25">
      <c r="A269">
        <f t="shared" si="15"/>
        <v>268</v>
      </c>
      <c r="B269" s="1" t="s">
        <v>558</v>
      </c>
      <c r="C269" s="10" t="e">
        <v>#N/A</v>
      </c>
      <c r="D269" s="10"/>
      <c r="E269" t="s">
        <v>323</v>
      </c>
      <c r="F269" t="s">
        <v>559</v>
      </c>
      <c r="G269" t="s">
        <v>835</v>
      </c>
      <c r="H269">
        <v>48200</v>
      </c>
      <c r="J269" s="2">
        <f t="shared" si="14"/>
        <v>44344</v>
      </c>
      <c r="K269" s="2" t="str">
        <f>VLOOKUP(B269,'[2]RF-Double_Door'!$B$2:$AB$24,27,0)</f>
        <v>A+</v>
      </c>
      <c r="L269" t="s">
        <v>73</v>
      </c>
    </row>
  </sheetData>
  <hyperlinks>
    <hyperlink ref="B2" r:id="rId1" display="https://www.ifbappliances.com/senator-plus-msc-8014" xr:uid="{A1FBA87C-8FB5-4C2A-99BF-8422B982C6A9}"/>
    <hyperlink ref="B3" r:id="rId2" display="https://www.ifbappliances.com/senator-plus-sxc-8014" xr:uid="{8FB10CE4-38E6-4E57-AF45-98EFF0865E68}"/>
    <hyperlink ref="B4" r:id="rId3" display="https://www.ifbappliances.com/executive-plus-mxc-1014" xr:uid="{E1E102C9-ACB1-40A4-B68D-BDDD545F4B90}"/>
    <hyperlink ref="B5" r:id="rId4" display="https://www.ifbappliances.com/senator-plus-mxc-8014" xr:uid="{100205B8-4C0D-4787-9DC6-A1964E4B7DC8}"/>
    <hyperlink ref="B6" r:id="rId5" display="https://www.ifbappliances.com/executive-mxc-9014" xr:uid="{5BDB2503-65BC-40FD-831F-BA73FC423194}"/>
    <hyperlink ref="B7" r:id="rId6" display="https://www.ifbappliances.com/senator-wss-steam-8-kg-1400-rpm" xr:uid="{5EDBAF98-019D-49E3-9C1F-5D0E26A0A138}"/>
    <hyperlink ref="B8" r:id="rId7" display="https://www.ifbappliances.com/senorita-sxs" xr:uid="{2CD2D727-4634-4AD6-81FD-83C61EB3234A}"/>
    <hyperlink ref="B9" r:id="rId8" display="https://www.ifbappliances.com/senorita-vxs" xr:uid="{53954D11-826A-48A2-8E0B-EDDC5C61CBDF}"/>
    <hyperlink ref="B10" r:id="rId9" display="https://www.ifbappliances.com/serena-zss" xr:uid="{8C33D4B0-9E1D-41FC-9436-B11340BC0B48}"/>
    <hyperlink ref="B11" r:id="rId10" display="https://www.ifbappliances.com/elena-zss" xr:uid="{72B45973-D759-4D05-840B-16B1055B1EEF}"/>
    <hyperlink ref="B12" r:id="rId11" display="https://www.ifbappliances.com/diva-aqua-vss-7010" xr:uid="{B225D898-F22E-44C3-A213-7CE9D766CC7B}"/>
    <hyperlink ref="B13" r:id="rId12" display="https://www.ifbappliances.com/executive-mss-id" xr:uid="{45FD8565-1B9A-4161-8E7C-98A9CCEB532E}"/>
    <hyperlink ref="B14" r:id="rId13" display="https://www.ifbappliances.com/senator-plus-srs" xr:uid="{F13D44DA-38B8-4C62-918E-DE526D72F7DA}"/>
    <hyperlink ref="B15" r:id="rId14" display="https://www.ifbappliances.com/senator-mxs" xr:uid="{F31A831C-6557-43B3-A675-B20BD292C7D3}"/>
    <hyperlink ref="B16" r:id="rId15" display="https://www.ifbappliances.com/senator-sxs" xr:uid="{A0CF9C6D-B2CC-4FB6-AE0D-65B3DF60FF1D}"/>
    <hyperlink ref="B17" r:id="rId16" display="https://www.ifbappliances.com/neo-diva-sxs-6-kg" xr:uid="{709413C9-B6D3-4F3E-A33B-AD034330C0E1}"/>
    <hyperlink ref="B18" r:id="rId17" display="https://www.ifbappliances.com/elite-zss" xr:uid="{D01E77C3-24C2-43F6-9107-FA1FD29057F2}"/>
    <hyperlink ref="B19" r:id="rId18" display="https://www.ifbappliances.com/senator-mxs-8014" xr:uid="{9E6380CA-DC02-4CF8-AAE0-A19DA0EBD69E}"/>
    <hyperlink ref="B20" r:id="rId19" display="https://www.ifbappliances.com/senator-zms" xr:uid="{520B3743-BDD4-41F5-B681-38CE0CE858BB}"/>
    <hyperlink ref="B21" r:id="rId20" display="https://www.ifbappliances.com/senator-plus-sxs" xr:uid="{B20CE7ED-1D39-4B94-90CE-F94EA81A92B9}"/>
    <hyperlink ref="B22" r:id="rId21" display="https://www.ifbappliances.com/senator-plus-mxs" xr:uid="{64C2D949-2477-45C1-B9EB-3D2B63E5D983}"/>
    <hyperlink ref="B23" r:id="rId22" display="https://www.ifbappliances.com/neo-diva-sxs-7010" xr:uid="{78DD0250-99EA-42B8-8C64-CEFDE65A015C}"/>
    <hyperlink ref="B24" r:id="rId23" display="https://www.ifbappliances.com/diva-aqua-bxs" xr:uid="{F0E1B37E-ECDD-4CB9-BD23-59639B6C361E}"/>
    <hyperlink ref="B25" r:id="rId24" display="https://www.ifbappliances.com/diva-aqua-sxs-6-kg" xr:uid="{10E38A7F-7689-49D1-BCA8-AB3DE6415017}"/>
    <hyperlink ref="B26" r:id="rId25" display="https://www.ifbappliances.com/neo-diva-vxs-6010" xr:uid="{23EF761A-9B52-4D64-9F7A-1E2F2734CD53}"/>
    <hyperlink ref="B27" r:id="rId26" display="https://www.ifbappliances.com/executive-plus-vx-eco-inverter" xr:uid="{80DA6947-BF67-49F7-95E3-2ABEF3715291}"/>
    <hyperlink ref="B28" r:id="rId27" display="https://www.ifbappliances.com/elena-plus-sxs" xr:uid="{71A52FC5-6E49-4A85-B61A-4CBC0E1D5FE2}"/>
    <hyperlink ref="B29" r:id="rId28" display="https://www.ifbappliances.com/diva-aqua-sxs-7010" xr:uid="{3B355043-81CC-4B9D-9BD9-E67BC1AF4F37}"/>
    <hyperlink ref="B30" r:id="rId29" display="https://www.ifbappliances.com/executive-mxs-id-1014" xr:uid="{F924D2FA-3EB1-4C3F-86FF-8F39E81F6017}"/>
    <hyperlink ref="B31" r:id="rId30" display="https://www.ifbappliances.com/executive-plus-vsc-1014" xr:uid="{A0F6C95E-74FD-4A88-AEDE-D519418DE7CD}"/>
    <hyperlink ref="B32" r:id="rId31" display="https://www.ifbappliances.com/diva-aqua-sbs-6-kg" xr:uid="{A7D3EF29-4B5E-41A1-8388-24948481C8A1}"/>
    <hyperlink ref="B33" r:id="rId32" display="https://www.ifbappliances.com/elite-mxs-7012" xr:uid="{4643DFB1-D6AB-4142-94DE-C80FA1671ACF}"/>
    <hyperlink ref="B34" r:id="rId33" display="https://www.ifbappliances.com/senator-vss" xr:uid="{D1C8E01E-C167-4A38-933B-6B91ABF2C95B}"/>
    <hyperlink ref="B35" r:id="rId34" display="https://www.ifbappliances.com/executive-sxs-9014" xr:uid="{D37C0586-CD3C-416D-8441-6B50193EC146}"/>
    <hyperlink ref="B36" r:id="rId35" display="https://www.ifbappliances.com/elite-plus-wss-7-kg" xr:uid="{4D306687-2C63-47D7-912E-8243A3DDA39F}"/>
    <hyperlink ref="B37" r:id="rId36" display="https://www.ifbappliances.com/executive-msc-9014" xr:uid="{4FDA1AAF-E7EB-408A-A40D-7656CDE64A20}"/>
    <hyperlink ref="B38" r:id="rId37" display="https://www.ifbappliances.com/senator-vxs-8-kg-1200-rpm" xr:uid="{8267333B-11A9-4335-9385-078A759F8229}"/>
    <hyperlink ref="B39" r:id="rId38" display="https://www.ifbappliances.com/elena-sbs" xr:uid="{1A15D5AD-6E27-41D0-8C1A-76872CD76369}"/>
    <hyperlink ref="B40" r:id="rId39" display="https://www.ifbappliances.com/neo-diva-vxs" xr:uid="{0E9E5271-115E-4E89-AAAF-646BB1B27A2A}"/>
    <hyperlink ref="B41" r:id="rId40" display="https://www.ifbappliances.com/senator-plus-vxs" xr:uid="{9EDAA4A3-CB1F-45EB-A288-0F8855DA0B57}"/>
    <hyperlink ref="B42" r:id="rId41" display="https://www.ifbappliances.com/neo-diva-bxs" xr:uid="{709FB41B-F7FA-436C-8AE2-C7B6EA20B996}"/>
    <hyperlink ref="B43" r:id="rId42" display="https://www.ifbappliances.com/senator-neo-mxs" xr:uid="{03EBD3B4-01BA-4B85-AFE9-1FAE46F52548}"/>
    <hyperlink ref="B44" r:id="rId43" display="https://www.ifbappliances.com/senator-neo-sxs-8012" xr:uid="{590BAEBD-B2D9-4B52-B96D-DA19A33874C6}"/>
    <hyperlink ref="B45" r:id="rId44" display="https://www.ifbappliances.com/senator-neo-vxs-8012" xr:uid="{B546CDF3-57B7-4ACC-A227-5B5E2150BCF9}"/>
    <hyperlink ref="B46" r:id="rId45" display="https://www.ifbappliances.com/neo-diva-wss" xr:uid="{DB55F892-D0AB-4524-9473-512224F71165}"/>
    <hyperlink ref="B47" r:id="rId46" display="https://www.ifbappliances.com/eva-plus-zws" xr:uid="{623B8894-EFAA-4A33-BBAD-E0B2A02DFD1E}"/>
    <hyperlink ref="B48" r:id="rId47" display="https://www.ifbappliances.com/diva-aqua-vss-6-kg" xr:uid="{D9BB6397-4483-4D78-A2FB-E04C9A72BC7C}"/>
    <hyperlink ref="B49" r:id="rId48" display="https://www.ifbappliances.com/elena-sxs" xr:uid="{7EE61FC3-F686-4175-8888-4C3F00EA8865}"/>
    <hyperlink ref="B50" r:id="rId49" display="https://www.ifbappliances.com/senorita-wxs-6-5-kg-1000-rpm" xr:uid="{01CEA21A-8047-4F40-A7F5-5809EBC2FA0B}"/>
    <hyperlink ref="B51" r:id="rId50" display="https://www.ifbappliances.com/elena-zx-6-5-kg-1000-rpm" xr:uid="{20BAB87F-57C5-4AA9-BD36-642E1C39A8DA}"/>
    <hyperlink ref="B52" r:id="rId51" display="https://www.ifbappliances.com/elite-zxs-7kg-1000-rpm" xr:uid="{D8B174F9-54F9-4D6C-A44A-A534CCF4FD1A}"/>
    <hyperlink ref="B53" r:id="rId52" display="https://www.ifbappliances.com/senator-smart-touch-sx-8-5-kg" xr:uid="{DE49EDDE-1C73-44A2-87AF-654BC58C407D}"/>
    <hyperlink ref="B54" r:id="rId53" display="https://www.ifbappliances.com/serena-wxs-7-kg-1200-rpm" xr:uid="{D6601432-3F27-4764-9C1B-0BC009E196D0}"/>
    <hyperlink ref="B55" r:id="rId54" display="https://www.ifbappliances.com/executive-smart-touch-sxs" xr:uid="{FE22D453-0D1C-4E9C-A747-76F21AC578B6}"/>
    <hyperlink ref="B56" r:id="rId55" display="https://www.ifbappliances.com/senator-msn-8014" xr:uid="{055C9858-1950-43FD-B0BB-C0B828278915}"/>
    <hyperlink ref="B57" r:id="rId56" display="https://www.ifbappliances.com/diva-aqua-sbs-6008" xr:uid="{A3A64D4D-D53C-4C6E-BDB4-71EF8DAFCE20}"/>
    <hyperlink ref="B58" r:id="rId57" display="https://www.ifbappliances.com/senator-gxn-8012" xr:uid="{C07A1015-2F2E-4069-8081-52EA6DDD6AAE}"/>
    <hyperlink ref="B59" r:id="rId58" display="https://www.ifbappliances.com/executive-mbn-9014k" xr:uid="{F9F2839D-0B97-4403-8D51-DB3F1E85435E}"/>
    <hyperlink ref="B60" r:id="rId59" display="https://www.ifbappliances.com/senator-sxn-8014" xr:uid="{A920F295-5155-4884-8492-B431DB5C0FCE}"/>
    <hyperlink ref="B61" r:id="rId60" display="https://www.ifbappliances.com/executive-bxn-9014k" xr:uid="{049816FB-FCB7-49AB-95E1-2F897C90CC9F}"/>
    <hyperlink ref="B62" r:id="rId61" display="https://www.ifbappliances.com/senator-bxn-8012" xr:uid="{4FD4AB71-EBBE-40EE-9193-D9C34B8E0ACD}"/>
    <hyperlink ref="B63" r:id="rId62" display="https://www.ifbappliances.com/executive-msn-9014k" xr:uid="{634F6AB3-7676-4BC8-9B70-8DCF924A1E11}"/>
    <hyperlink ref="B64" r:id="rId63" display="https://www.ifbappliances.com/senator-mbn-8012" xr:uid="{BD6A19D7-3B3D-4A45-9683-D614EB00F93D}"/>
    <hyperlink ref="B65" r:id="rId64" display="https://www.ifbappliances.com/executive-sxn-9014k" xr:uid="{3C7F4E13-65CA-48B0-92AA-0546ACB04830}"/>
    <hyperlink ref="B66" r:id="rId65" display="https://www.ifbappliances.com/tl-sibs-10kg" xr:uid="{4C45BC52-6C9A-4728-83B4-7C6E3D71AC79}"/>
    <hyperlink ref="B67" r:id="rId66" display="https://www.ifbappliances.com/tl-slbs-9-kg-aqua" xr:uid="{DAA12806-F81D-4B21-93EC-673C9C36DCC8}"/>
    <hyperlink ref="B68" r:id="rId67" display="https://www.ifbappliances.com/tl-spls-8-kg-aqua" xr:uid="{2977DB72-A61F-4772-9B80-5ABFFAF2B681}"/>
    <hyperlink ref="B69" r:id="rId68" display="https://www.ifbappliances.com/tl-sbrs-8-kg-aqua" xr:uid="{45848B43-89D4-4CDB-B430-F74E5BD2B321}"/>
    <hyperlink ref="B70" r:id="rId69" display="https://www.ifbappliances.com/tl-rpss-7-kg-aqua" xr:uid="{7E2A8CEC-311D-4653-B1CA-1C75E2863B08}"/>
    <hyperlink ref="B71" r:id="rId70" display="https://www.ifbappliances.com/tl-regs-7kg" xr:uid="{6D7ACC1F-B4BF-4EDB-9B7F-BBC367AA139E}"/>
    <hyperlink ref="B72" r:id="rId71" display="https://www.ifbappliances.com/tl-spgs-7-kg-aqua" xr:uid="{5A93B9A5-77E6-4BEA-9811-E76681E1DD2C}"/>
    <hyperlink ref="B73" r:id="rId72" display="https://www.ifbappliances.com/tl-rpss-6-5-kg-aqua" xr:uid="{B64B73DB-C863-45F5-ADFC-365DB61A6E41}"/>
    <hyperlink ref="B74" r:id="rId73" display="https://www.ifbappliances.com/tl-res" xr:uid="{34717212-A4D8-43DB-86E4-A06CB85C4CB0}"/>
    <hyperlink ref="B75" r:id="rId74" display="https://www.ifbappliances.com/tl-r2wrs-6-5-kg-aqua" xr:uid="{43D2574F-76E3-47DA-AC4C-5A4E1CA7F7E4}"/>
    <hyperlink ref="B76" r:id="rId75" display="https://www.ifbappliances.com/tl-r3sg-8-kg-aqua" xr:uid="{B7D327A9-BD57-46C7-9472-6E82F96ECC2A}"/>
    <hyperlink ref="B77" r:id="rId76" display="https://www.ifbappliances.com/tl-res-7-kg-aqua" xr:uid="{067B2A52-963A-491F-81B2-9937A5296D29}"/>
    <hyperlink ref="B78" r:id="rId77" display="https://www.ifbappliances.com/tl-rgs-7kg-aqua-720-rpm" xr:uid="{627F4054-BD05-46D8-9B0B-BCAF4DAAF33F}"/>
    <hyperlink ref="B79" r:id="rId78" display="https://www.ifbappliances.com/tl-reg-7-kg-aqua" xr:uid="{F7457F0D-3B94-40CC-B945-923FF499E487}"/>
    <hyperlink ref="B80" r:id="rId79" display="https://www.ifbappliances.com/tl-reg-6-5kg-aqua-720-rpm" xr:uid="{25AF3A9F-7763-4821-ABFF-817B5BF54A00}"/>
    <hyperlink ref="B81" r:id="rId80" display="https://www.ifbappliances.com/tl-r2brs-6-5-kg-aqua" xr:uid="{A27013AE-47D0-4507-A850-1222037A9C8D}"/>
    <hyperlink ref="B82" r:id="rId81" display="https://www.ifbappliances.com/tl-s4bls-10-kg-aqua" xr:uid="{9D9DA057-4095-43D7-8F29-9135F9C38996}"/>
    <hyperlink ref="B83" r:id="rId82" display="https://www.ifbappliances.com/tl-r1brs-7-kg-aqua" xr:uid="{54B7451C-AA07-4E5C-A1B3-CD99BC671098}"/>
    <hyperlink ref="B84" r:id="rId83" display="https://www.ifbappliances.com/tl-r2br-7-kg-aqua" xr:uid="{8E6AB841-3EC7-44C2-8B94-B813647448F2}"/>
    <hyperlink ref="B85" r:id="rId84" display="https://www.ifbappliances.com/tl-s4rbs-9-kg-aqua" xr:uid="{E824196F-7D82-456E-BF52-7A65554BBD1C}"/>
    <hyperlink ref="B86" r:id="rId85" display="https://www.ifbappliances.com/tl-s1wrs-8-kg-aqua" xr:uid="{57F234AF-F5EA-46A0-943D-0BA9076AE165}"/>
    <hyperlink ref="B87" r:id="rId86" display="https://www.ifbappliances.com/tl-rss-6-5kg-aqua-720-rpm" xr:uid="{D59FD0D9-5570-42EF-AA42-B259921ECD47}"/>
    <hyperlink ref="B88" r:id="rId87" display="https://www.ifbappliances.com/tl-r1wrs-7-kg-aqua" xr:uid="{BD477DE9-A5B1-427A-BA36-3B6E71F2BB03}"/>
    <hyperlink ref="B89" r:id="rId88" display="https://www.ifbappliances.com/tl-s4sts-9-kg-aqua" xr:uid="{2B007574-9CAA-453B-B7F3-210E36D04359}"/>
    <hyperlink ref="B90" r:id="rId89" display="https://www.ifbappliances.com/tl-rews" xr:uid="{827D86BD-58D2-4E35-9C17-7267D7FCD651}"/>
    <hyperlink ref="B91" r:id="rId90" display="https://www.ifbappliances.com/tl-rew" xr:uid="{8BA8CAAA-CAE3-4B3C-B98E-0046B009AEC2}"/>
    <hyperlink ref="B92" r:id="rId91" display="https://www.ifbappliances.com/tl-sbrh-8-0-kg-aqua-l-720-rpm" xr:uid="{23FBC296-BD17-4AED-B1E8-0C95DEB8D0AA}"/>
    <hyperlink ref="B93" r:id="rId92" display="https://www.ifbappliances.com/tl-regs" xr:uid="{08EF5D8A-C996-4A0E-AA4A-8D3F47FA5464}"/>
    <hyperlink ref="B94" r:id="rId93" display="https://www.ifbappliances.com/tl-rbr" xr:uid="{776FDC70-2977-4408-B0BD-31132E84BC83}"/>
    <hyperlink ref="B95" r:id="rId94" display="https://www.ifbappliances.com/tl-s4rbs-10-kg-aqua" xr:uid="{4C096F23-4A7B-4711-B104-64B5E31A6B79}"/>
    <hyperlink ref="B96" r:id="rId95" display="https://www.ifbappliances.com/tl-r1wh-7-0-kg-aqua" xr:uid="{35FD9073-D5A6-4413-878D-BA30F819E7E4}"/>
    <hyperlink ref="B97" r:id="rId96" display="https://www.ifbappliances.com/tl-sds-7kg-aqua-720-rpm" xr:uid="{FB1DE3C7-302B-49B5-B1B5-4A8E5929DFB9}"/>
    <hyperlink ref="B98" r:id="rId97" display="https://www.ifbappliances.com/tl-sibs-11kg" xr:uid="{D750E6C2-C02A-4505-9DB6-6E202610182E}"/>
    <hyperlink ref="B99" r:id="rId98" display="https://www.ifbappliances.com/tl-sdg-6-5kg-aqua-720-rpm" xr:uid="{D02AC60D-5BBC-4476-A24B-51392D9A17BB}"/>
    <hyperlink ref="B100" r:id="rId99" display="https://www.ifbappliances.com/tl-sdss-8-kg-aqua" xr:uid="{58DF7EFA-F70D-4FF3-8703-8F82851DA3BB}"/>
    <hyperlink ref="B101" r:id="rId100" display="https://www.ifbappliances.com/tl-s4ins-12-kg-aqua" xr:uid="{E4BFA8EA-BFF3-43B9-AA4E-3423C4D13446}"/>
    <hyperlink ref="B102" r:id="rId101" display="https://www.ifbappliances.com/tl-ssbl-9-kg" xr:uid="{3D62E014-64B6-4350-A5EC-9AD45B1DC2A3}"/>
    <hyperlink ref="B103" r:id="rId102" display="https://www.ifbappliances.com/tl-s4rbs-12-kg-aqua" xr:uid="{85F2BBCF-6F78-4D2A-96B1-7742FE120D0D}"/>
    <hyperlink ref="B104" r:id="rId103" display="https://www.ifbappliances.com/tl-s1wrs-7-kg-aqua" xr:uid="{D27FB532-4646-4019-9A0A-7D1F7B2381AD}"/>
    <hyperlink ref="B105" r:id="rId104" display="https://www.ifbappliances.com/tl-sdsh-8-kg-aqua" xr:uid="{37F60586-E85E-4B2C-98D1-009043C71AC0}"/>
    <hyperlink ref="B106" r:id="rId105" display="https://www.ifbappliances.com/tl-ress-7-kg-aqua" xr:uid="{1BAA6315-5F8C-4D78-97A7-B74A83F50308}"/>
    <hyperlink ref="B107" r:id="rId106" display="https://www.ifbappliances.com/tl-spss-6-5-kg-aqua" xr:uid="{E5926A89-91B1-4A8D-B0A9-097456A98BDB}"/>
    <hyperlink ref="B108" r:id="rId107" display="https://www.ifbappliances.com/tl-r1wrs-6-5-kg-aqua" xr:uid="{6F39F095-0A02-441F-993F-C3A9DA30297C}"/>
    <hyperlink ref="B109" r:id="rId108" display="https://www.ifbappliances.com/tl-r2brs-8-kg-aqua" xr:uid="{B33BE809-8FFA-4536-957E-2AE839A34435}"/>
    <hyperlink ref="B110" r:id="rId109" display="https://www.ifbappliances.com/turbodry-550-5-5kg-l-55rpm" xr:uid="{FD4EAD4F-D6AC-4599-9C5E-5A3E26FE79E0}"/>
    <hyperlink ref="B111" r:id="rId110" display="https://www.ifbappliances.com/turbo-dry-mx" xr:uid="{19E63915-93DE-44FF-B7D9-852F6B808106}"/>
    <hyperlink ref="B112" r:id="rId111" display="https://www.ifbappliances.com/turbo-dry-lx" xr:uid="{7298A5E2-B2DB-4DDF-8C4E-64055E5C8857}"/>
    <hyperlink ref="B113" r:id="rId112" display="https://www.ifbappliances.com/turbo-dry-rx" xr:uid="{17084495-607E-48E0-B4B0-DC45CAF950D4}"/>
    <hyperlink ref="B114" r:id="rId113" display="https://www.ifbappliances.com/turbodry-ex-5-5kg-l-55rpm" xr:uid="{5A743E31-5F96-4862-9882-FAADED6394BA}"/>
    <hyperlink ref="B115" r:id="rId114" display="https://www.ifbappliances.com/20pm-mec2b" xr:uid="{706D6F16-B980-4C8D-A4EC-EDAFF9EBB16C}"/>
    <hyperlink ref="B116" r:id="rId115" display="https://www.ifbappliances.com/25pm2s-25ltrs-l-solo" xr:uid="{2AD6E22E-D092-465F-8A84-B6A59D69FA3E}"/>
    <hyperlink ref="B117" r:id="rId116" display="https://www.ifbappliances.com/24pm2b" xr:uid="{19A1FD16-3264-40AF-865C-E19CE26FAD83}"/>
    <hyperlink ref="B118" r:id="rId117" display="https://www.ifbappliances.com/20pm-mec2" xr:uid="{8C9F8044-8578-497C-8962-C4FDA5B7451D}"/>
    <hyperlink ref="B119" r:id="rId118" display="https://www.ifbappliances.com/20pg4s" xr:uid="{FAB732EA-A7FF-45FE-8DA2-2ABD484E150E}"/>
    <hyperlink ref="B120" r:id="rId119" display="https://www.ifbappliances.com/23sc3" xr:uid="{51B6EDFC-6BE6-4051-B308-F1016F8BB073}"/>
    <hyperlink ref="B121" r:id="rId120" display="https://www.ifbappliances.com/25bc3" xr:uid="{78C52982-973A-4878-B938-616EBC4B7557}"/>
    <hyperlink ref="B122" r:id="rId121" display="https://www.ifbappliances.com/30brc2" xr:uid="{7AEFFEDA-057A-4254-84DF-E3A30CF8005F}"/>
    <hyperlink ref="B123" r:id="rId122" display="https://www.ifbappliances.com/23bc4" xr:uid="{595736E0-8314-4D22-BE3A-5B6E3C761F3E}"/>
    <hyperlink ref="B124" r:id="rId123" display="https://www.ifbappliances.com/25sc4-163" xr:uid="{93B03C7C-E94D-4AEF-A38D-B438D6B03A2E}"/>
    <hyperlink ref="B125" r:id="rId124" display="https://www.ifbappliances.com/30frc2" xr:uid="{17D795FF-76F2-4DAE-999E-E1F34F31BCE9}"/>
    <hyperlink ref="B126" r:id="rId125" display="https://www.ifbappliances.com/20bc4" xr:uid="{6411D211-E7D6-45E0-883A-BB79FECF4876}"/>
    <hyperlink ref="B127" r:id="rId126" display="https://www.ifbappliances.com/25bc4" xr:uid="{2BD16FD5-DFDA-46E4-8F16-DFE1241076E5}"/>
    <hyperlink ref="B128" r:id="rId127" display="https://www.ifbappliances.com/28bc5" xr:uid="{F340C149-39A2-4844-8810-5B4A8991BD0D}"/>
    <hyperlink ref="B129" r:id="rId128" display="https://www.ifbappliances.com/30brc3" xr:uid="{CC7E6D27-63A8-40C6-8022-734290396880}"/>
    <hyperlink ref="B130" r:id="rId129" display="https://www.ifbappliances.com/30sc4" xr:uid="{2D94E0C7-19F0-4068-AC69-25E5829C26E8}"/>
    <hyperlink ref="B131" r:id="rId130" display="https://www.ifbappliances.com/20bc5" xr:uid="{A633E138-5BD3-4E84-8A19-29CBAC7F4744}"/>
    <hyperlink ref="B132" r:id="rId131" display="https://www.ifbappliances.com/23bc5" xr:uid="{6674C0C3-D5CA-4CC0-A031-6B146F779F25}"/>
    <hyperlink ref="B133" r:id="rId132" display="https://www.ifbappliances.com/30bc5-30-ltrs-l-convection" xr:uid="{433E253B-084B-44D3-9FF6-09FEDF63390F}"/>
    <hyperlink ref="B134" r:id="rId133" display="https://www.ifbappliances.com/25dgbc2-25-ltrs" xr:uid="{E3EA907D-CB30-4710-8475-09A569D3754D}"/>
    <hyperlink ref="B135" r:id="rId134" display="https://www.ifbappliances.com/21sc5" xr:uid="{E082BBE9-DDF3-45FF-8BDA-62C4DE891896}"/>
    <hyperlink ref="B136" r:id="rId135" display="https://www.ifbappliances.com/20sc2" xr:uid="{3D72164C-0DCD-4AD2-891B-A7A14C0BA1F8}"/>
    <hyperlink ref="B137" r:id="rId136" display="https://www.ifbappliances.com/neptune-vx16" xr:uid="{1A653D04-E636-42CE-916B-48FBE2028177}"/>
    <hyperlink ref="B138" r:id="rId137" display="https://www.ifbappliances.com/neptune-vx2-plus" xr:uid="{4613F341-BFE9-4667-9079-26C835F655F9}"/>
    <hyperlink ref="B139" r:id="rId138" display="https://www.ifbappliances.com/neptune-sx2" xr:uid="{8D507E3F-5C7A-4A0F-8BD0-B5E7389C7910}"/>
    <hyperlink ref="B140" r:id="rId139" display="https://www.ifbappliances.com/neptune-bi2" xr:uid="{DE79C4B5-8C44-4307-A939-B257A88E2E78}"/>
    <hyperlink ref="B141" r:id="rId140" display="https://www.ifbappliances.com/ivs-7005-lr" xr:uid="{BB1ED7CC-27A5-42CB-9F78-3D9E70643B8A}"/>
    <hyperlink ref="B142" r:id="rId141" display="https://www.ifbappliances.com/ivs-9505-lr" xr:uid="{73C0C3FC-124B-43F3-BFB2-59E73419D029}"/>
    <hyperlink ref="B143" r:id="rId142" display="https://www.ifbappliances.com/ivs-10005-r" xr:uid="{711D6A1F-57D3-4951-BF06-6721F8753C5F}"/>
    <hyperlink ref="B144" r:id="rId143" display="https://www.ifbappliances.com/ivs-13005-r" xr:uid="{1F565328-0491-4940-9987-EFAD5A8B964D}"/>
    <hyperlink ref="B145" r:id="rId144" display="https://www.ifbappliances.com/ivs-1455-wmt" xr:uid="{6C9A8009-D288-40FC-9DEB-39219E26EB27}"/>
    <hyperlink ref="B146" r:id="rId145" display="https://www.ifbappliances.com/ivs-1705-wmt" xr:uid="{7B8CE549-0D49-494B-B40A-E3DAAE5F1CD8}"/>
    <hyperlink ref="B147" r:id="rId146" display="https://www.ifbappliances.com/ivs-1405-wmt" xr:uid="{7231AB08-42AA-43B7-995A-6D53DD646FAF}"/>
    <hyperlink ref="B148" r:id="rId147" display="https://www.ifbappliances.com/ivs-1605-wmt" xr:uid="{3343F334-7843-4FB1-AFC2-BDCA8637006C}"/>
    <hyperlink ref="B149" r:id="rId148" display="https://www.ifbappliances.com/ivs-515-wmt" xr:uid="{4DD57907-60FB-45E8-8727-0D617DBA83E5}"/>
    <hyperlink ref="B150" r:id="rId149" display="https://www.ifbappliances.com/ivs-410-la" xr:uid="{BBA192C7-2C60-47E4-9D00-ED6F8AD7D04D}"/>
    <hyperlink ref="B151" r:id="rId150" display="https://www.ifbappliances.com/ivs-405-dla" xr:uid="{169A9A82-F48B-41E3-A193-EAE67D4E45FD}"/>
    <hyperlink ref="B152" r:id="rId151" display="https://www.ifbappliances.com/ivs-405-sla" xr:uid="{9BE57155-0CEC-4172-BEB4-D86910A16DBB}"/>
    <hyperlink ref="B153" r:id="rId152" display="https://www.ifbappliances.com/ivs-510050-ml-1" xr:uid="{9909276B-E764-428E-9569-16813C656CF9}"/>
    <hyperlink ref="B154" r:id="rId153" display="https://www.ifbappliances.com/ivs-1010050-ml" xr:uid="{033A7B7E-390F-493C-85B6-25CA9531FD88}"/>
    <hyperlink ref="B155" r:id="rId154" display="https://www.ifbappliances.com/ivs-510050-ml" xr:uid="{82DCDF6A-78D8-4761-81AD-55DF0C73445A}"/>
    <hyperlink ref="B156" r:id="rId155" display="https://www.ifbappliances.com/ivs955a" xr:uid="{2285396C-340C-423E-BC0B-257FFA337927}"/>
    <hyperlink ref="B157" r:id="rId156" display="https://www.ifbappliances.com/ivs1455a" xr:uid="{FC145600-5005-4D76-82CB-BC09A29FC352}"/>
    <hyperlink ref="B158" r:id="rId157" display="https://www.ifbappliances.com/ivs1705a" xr:uid="{F3B010E1-22DD-4250-8B75-96E19995BCBD}"/>
    <hyperlink ref="B159" r:id="rId158" display="https://www.ifbappliances.com/ivs1805a" xr:uid="{8A9BAE5C-9AE8-423E-B1A1-013031F58F5D}"/>
    <hyperlink ref="B160" r:id="rId159" display="https://www.ifbappliances.com/ivs954a" xr:uid="{2E3FC374-B0F9-4700-B259-DD96F0E29467}"/>
    <hyperlink ref="B161" r:id="rId160" display="https://www.ifbappliances.com/ivs1454a" xr:uid="{AA58E120-2246-44C9-AB04-DD033987150A}"/>
    <hyperlink ref="B162" r:id="rId161" display="https://www.ifbappliances.com/ivs1704a" xr:uid="{C25E5EFD-C760-48A5-BCD7-665775FDAE66}"/>
    <hyperlink ref="B163" r:id="rId162" display="https://www.ifbappliances.com/ivs1804a" xr:uid="{7DF2989D-5695-45B0-A88C-491E5626415A}"/>
    <hyperlink ref="B164" r:id="rId163" display="https://www.ifbappliances.com/ci1832a223gm1" xr:uid="{0C1860A2-19D2-4ED2-A0F6-33B670823CE1}"/>
    <hyperlink ref="B165" r:id="rId164" display="https://www.ifbappliances.com/ci2433a323g3" xr:uid="{CF712D94-F299-4282-9FD2-B23963D79612}"/>
    <hyperlink ref="B166" r:id="rId165" display="https://www.ifbappliances.com/ci1852d223gn1" xr:uid="{3FBE09EE-CF97-479F-B288-E215065F7E23}"/>
    <hyperlink ref="B167" r:id="rId166" display="https://www.ifbappliances.com/ci1831g223gm1" xr:uid="{CAE94C44-3240-4770-9FA3-3C5A0E76F24F}"/>
    <hyperlink ref="B168" r:id="rId167" display="https://www.ifbappliances.com/ci1853e223gn1" xr:uid="{010E6CC0-53B3-4C47-8D15-E311E2AD0541}"/>
    <hyperlink ref="B169" r:id="rId168" display="https://www.ifbappliances.com/ci2432d323g3" xr:uid="{8C156DC9-7FBC-43C9-8EC4-ECCC18DC5122}"/>
    <hyperlink ref="B170" r:id="rId169" display="https://www.ifbappliances.com/ci2431g323g3" xr:uid="{7B6F961A-6B36-4676-94E1-415EBA38DF50}"/>
    <hyperlink ref="B171" r:id="rId170" display="https://www.ifbappliances.com/ci1332a113gn1" xr:uid="{5858B8EA-17DF-4DA8-BD72-A00763582612}"/>
    <hyperlink ref="B172" r:id="rId171" display="https://www.ifbappliances.com/ci2433a323g4" xr:uid="{24DFBB9D-08B8-482A-A347-6D005994C316}"/>
    <hyperlink ref="B173" r:id="rId172" display="https://www.ifbappliances.com/ci2432d323g4" xr:uid="{64250DBB-BDDA-4012-9100-DF92E2D04629}"/>
    <hyperlink ref="B174" r:id="rId173" display="https://www.ifbappliances.com/ci2431g323g4" xr:uid="{7E37FBEE-8B2E-40A4-B085-FE7B5FFCBC01}"/>
    <hyperlink ref="B175" r:id="rId174" display="https://www.ifbappliances.com/ci2433f323g4" xr:uid="{967A1476-160E-4F30-AD39-74FEC41576E5}"/>
    <hyperlink ref="B177" r:id="rId175" display="https://www.ifbappliances.com/ci1453f213gn1" xr:uid="{C0A6B8B8-4474-45E2-9F8C-ACDFFA444287}"/>
    <hyperlink ref="B178" r:id="rId176" display="https://www.ifbappliances.com/hi1831g223gm1" xr:uid="{D63288ED-5F5C-4F9B-95AB-81E945502D17}"/>
    <hyperlink ref="B179" r:id="rId177" display="https://www.ifbappliances.com/ci2052a323gn1" xr:uid="{9EBFC995-1120-4A4C-9737-620716F6F56E}"/>
    <hyperlink ref="B180" r:id="rId178" display="https://www.ifbappliances.com/ci2053a323gn1" xr:uid="{10258B1E-EAEC-4BC6-B537-9440F76C99A0}"/>
    <hyperlink ref="B181" r:id="rId179" display="https://www.ifbappliances.com/ci2051g323gn1" xr:uid="{C2060DAD-0B8D-4308-A5BE-C4F508A0CD97}"/>
    <hyperlink ref="B182" r:id="rId180" display="https://www.ifbappliances.com/ci2053f323gn1" xr:uid="{B0D87E12-2750-4BA5-8ABD-2D22545929F9}"/>
    <hyperlink ref="B183" r:id="rId181" display="https://www.ifbappliances.com/ci1852a223gn1" xr:uid="{6FA5DD61-8B9F-4819-B4DD-21E685CE88CD}"/>
    <hyperlink ref="B184" r:id="rId182" display="https://www.ifbappliances.com/ci1832a223gn1" xr:uid="{55F9D11D-4984-499E-8FF0-5CE90DBD13E9}"/>
    <hyperlink ref="B185" r:id="rId183" display="https://www.ifbappliances.com/ci1833a223gm1" xr:uid="{D8FC687E-86B4-42B9-8D6D-2F46BCD67880}"/>
    <hyperlink ref="B186" r:id="rId184" display="https://www.ifbappliances.com/ci1832d223gn1" xr:uid="{CAB19B29-A781-4638-A591-4B2FA00AA21D}"/>
    <hyperlink ref="B187" r:id="rId185" display="https://www.ifbappliances.com/ci1831g223gn1" xr:uid="{F10A2D71-7066-48CF-A8CC-45AC36672C81}"/>
    <hyperlink ref="B188" r:id="rId186" display="https://www.ifbappliances.com/ci1833f223gm1" xr:uid="{51790689-2F1D-43DD-BCD2-E3EC6402D22C}"/>
    <hyperlink ref="B189" r:id="rId187" display="https://www.ifbappliances.com/ci1333a113gn1" xr:uid="{7CDF8696-9E81-497F-8260-FDC7C0F1361D}"/>
    <hyperlink ref="B190" r:id="rId188" display="https://www.ifbappliances.com/ci1332d113gn1" xr:uid="{A01E39E1-89AA-40E1-BACB-63EC6BDC6445}"/>
    <hyperlink ref="B191" r:id="rId189" display="https://www.ifbappliances.com/ci1333e113gn1" xr:uid="{CA284EA7-B311-45CB-A450-7FC22ED02274}"/>
    <hyperlink ref="B192" r:id="rId190" display="https://www.ifbappliances.com/iahi24x23g3c" xr:uid="{7F1C921C-9872-4F78-8F8D-EE98B546F262}"/>
    <hyperlink ref="B193" r:id="rId191" display="https://www.ifbappliances.com/c12432a323g4" xr:uid="{1F307660-29E2-4D1D-AF12-DE4695DA43A6}"/>
    <hyperlink ref="B194" r:id="rId192" display="https://www.ifbappliances.com/ci1833e223gn1" xr:uid="{F6AD5B3A-3CE0-40B0-96E1-778DD0924865}"/>
    <hyperlink ref="B176" r:id="rId193" display="https://www.ifbappliances.com/ci1451g213gn1" xr:uid="{A76CCBBC-872B-4FA6-B335-C08EA0156BD2}"/>
    <hyperlink ref="B195" r:id="rId194" display="https://www.ifbappliances.com/executive-zxs-8-5-6-5-2-5-1400rpm" xr:uid="{93D8EB10-500A-4650-956C-83BA4F549252}"/>
    <hyperlink ref="B196" r:id="rId195" display="https://www.ifbappliances.com/executive-zxb" xr:uid="{4A44FB1A-008F-4460-ACDC-93B677D75010}"/>
    <hyperlink ref="B197" r:id="rId196" display="https://www.ifbappliances.com/executive-zxv" xr:uid="{922536D2-011C-4988-9216-EA7C0C2A8B71}"/>
    <hyperlink ref="B198" r:id="rId197" display="https://www.ifbappliances.com/executive-zxm-8-5-6-5-2-5-1400rpm" xr:uid="{FF4840AA-A646-4846-AF3B-3267D1048C58}"/>
    <hyperlink ref="B199" r:id="rId198" display="https://www.ifbappliances.com/ifbdc-2235ibb" xr:uid="{ADC503D7-8045-4A3F-ABFA-D2F55ACE41B9}"/>
    <hyperlink ref="B200" r:id="rId199" display="https://www.ifbappliances.com/ifbdc-2235irp" xr:uid="{81606334-36F6-4976-97CB-344E3DD8F8F7}"/>
    <hyperlink ref="B201" r:id="rId200" display="https://www.ifbappliances.com/ifbdc-2235ibp" xr:uid="{AA3CE40D-1043-436F-A9E2-8C1B4763673A}"/>
    <hyperlink ref="B202" r:id="rId201" display="https://www.ifbappliances.com/ifbdc-2325irp" xr:uid="{CEC38F71-6B66-4A28-8B45-E1B2C4FB4000}"/>
    <hyperlink ref="B203" r:id="rId202" display="https://www.ifbappliances.com/ifbdc-2325ibp" xr:uid="{FCFE2E42-41B1-42BB-9CCE-3850677B5CBF}"/>
    <hyperlink ref="B204" r:id="rId203" display="https://www.ifbappliances.com/ifbdc-2132fkg" xr:uid="{7802A7BE-B928-4A91-91A2-625AA8047D00}"/>
    <hyperlink ref="B205" r:id="rId204" display="https://www.ifbappliances.com/ifbdc-2233fkg" xr:uid="{4C126A17-8690-4F2F-BFAB-DC2B32FC03FA}"/>
    <hyperlink ref="B206" r:id="rId205" display="https://www.ifbappliances.com/ifbdc-2235ikg" xr:uid="{89DC679F-7F6D-447B-AF04-B87D17E2CCF5}"/>
    <hyperlink ref="B207" r:id="rId206" display="https://www.ifbappliances.com/ifbdc-2324ikg" xr:uid="{6D128F51-6F7B-4CE8-92F0-5015DF58BCF2}"/>
    <hyperlink ref="B208" r:id="rId207" display="https://www.ifbappliances.com/ifbdc-2325ilg" xr:uid="{3BD847C8-67F6-4529-93A4-B8EA1D3E472F}"/>
    <hyperlink ref="B209" r:id="rId208" display="https://www.ifbappliances.com/ifbdc-2324irg" xr:uid="{0508EAE6-1177-4920-8020-45F1D242E703}"/>
    <hyperlink ref="B210" r:id="rId209" display="https://www.ifbappliances.com/ifbdc-2235irg" xr:uid="{F9E7F7BC-E82F-4091-A228-2A9838133C4B}"/>
    <hyperlink ref="B211" r:id="rId210" display="https://www.ifbappliances.com/ifbdc-2233ffg" xr:uid="{11B3705B-77A2-4DC5-8B28-4A02A41ABF0E}"/>
    <hyperlink ref="B212" r:id="rId211" display="https://www.ifbappliances.com/ifbdc-2233flg" xr:uid="{D79D1009-6A3F-412B-807F-016A614A4A4B}"/>
    <hyperlink ref="B213" r:id="rId212" display="https://www.ifbappliances.com/ifbdc-2133ffg" xr:uid="{787592DD-29EE-4C0B-8CE3-EF7F497B663D}"/>
    <hyperlink ref="B214" r:id="rId213" display="https://www.ifbappliances.com/ifbdc-2133flg" xr:uid="{413952A2-4A3B-406F-8623-FBA552B13300}"/>
    <hyperlink ref="B215" r:id="rId214" display="https://www.ifbappliances.com/ifbdc-2132flg" xr:uid="{7F505604-63DD-4C08-8695-BCC4CF7E25FC}"/>
    <hyperlink ref="B216" r:id="rId215" display="https://www.ifbappliances.com/ifbdc-2483fbs" xr:uid="{66CA1E14-F691-47AD-B4A1-AE1B7A50066E}"/>
    <hyperlink ref="B217" r:id="rId216" display="https://www.ifbappliances.com/ifbdc-2324iksu" xr:uid="{58F16E4C-C952-4133-8045-0711AD45DAC4}"/>
    <hyperlink ref="B218" r:id="rId217" display="https://www.ifbappliances.com/ifbdc-2235irb" xr:uid="{8052FE8B-14E4-481A-841D-194359D46E16}"/>
    <hyperlink ref="B219" r:id="rId218" display="https://www.ifbappliances.com/ifbdc-2235iks" xr:uid="{24A38EA0-CF5E-4FE1-8445-776AEC9E166D}"/>
    <hyperlink ref="B220" r:id="rId219" display="https://www.ifbappliances.com/ifbdc-2325irb" xr:uid="{C1820280-9F96-415F-96D9-96B32BFE96D8}"/>
    <hyperlink ref="B221" r:id="rId220" display="https://www.ifbappliances.com/ifbdc-2132fcs" xr:uid="{A1AB9574-08E7-40DD-9438-BF79EE54B9DA}"/>
    <hyperlink ref="B222" r:id="rId221" display="https://www.ifbappliances.com/ifbdc-2132fss" xr:uid="{6B76A7E9-6DAB-4F6C-8549-47F0D62277F5}"/>
    <hyperlink ref="B223" r:id="rId222" display="https://www.ifbappliances.com/ifbdc-2232fss" xr:uid="{FE228B3D-B581-4883-93D6-2627D00B3093}"/>
    <hyperlink ref="B224" r:id="rId223" display="https://www.ifbappliances.com/ifbdc-2132fbf" xr:uid="{5C2ECDD6-EFD2-4C43-A0EB-70E63D628C1E}"/>
    <hyperlink ref="B225" r:id="rId224" display="https://www.ifbappliances.com/ifbdc-2132frf" xr:uid="{F21976F5-3721-4143-B693-3C4B530EAD6F}"/>
    <hyperlink ref="B226" r:id="rId225" display="https://www.ifbappliances.com/ifbdc-2322fbs" xr:uid="{A98D1D4E-0BC3-4D69-99C7-8EB73A4C9D3C}"/>
    <hyperlink ref="B227" r:id="rId226" display="https://www.ifbappliances.com/ifbdc-2233fbb" xr:uid="{F25B3BFE-847B-4C39-A659-0C4329901DE2}"/>
    <hyperlink ref="B228" r:id="rId227" display="https://www.ifbappliances.com/ifbdc-2232fas" xr:uid="{2519D904-F8E7-4DF1-9C3A-071F00D119F7}"/>
    <hyperlink ref="B229" r:id="rId228" display="https://www.ifbappliances.com/ifbdc-2325igs" xr:uid="{73E99E81-4C30-40D6-A8CA-7E3534C37C23}"/>
    <hyperlink ref="B230" r:id="rId229" display="https://www.ifbappliances.com/ifbdc-2231fss" xr:uid="{AC1957BA-BB5C-46E2-8C97-B4F456BBA7C2}"/>
    <hyperlink ref="B231" r:id="rId230" display="https://www.ifbappliances.com/ifbdc-2131frf" xr:uid="{BBE45035-8AD5-4925-B596-38193CEAF65A}"/>
    <hyperlink ref="B232" r:id="rId231" display="https://www.ifbappliances.com/ifbdc-2131fbf" xr:uid="{636395E7-698C-4EDB-8370-45E8753ACBFB}"/>
    <hyperlink ref="B233" r:id="rId232" display="https://www.ifbappliances.com/ifbdc-2131fss" xr:uid="{49CA682E-B9E1-4503-A889-F54EA0984767}"/>
    <hyperlink ref="B234" r:id="rId233" display="https://www.ifbappliances.com/ifbdc-2233fbs" xr:uid="{9D2F4E88-8B47-4627-96B8-E7BA615152FB}"/>
    <hyperlink ref="B235" r:id="rId234" display="https://www.ifbappliances.com/ifbdc-2133frh" xr:uid="{941D1747-9D39-4B2F-B891-81770F5D5631}"/>
    <hyperlink ref="B236" r:id="rId235" display="https://www.ifbappliances.com/ifbdc-2133fbh" xr:uid="{2F519006-A100-4CD4-A5C7-459184645A47}"/>
    <hyperlink ref="B237" r:id="rId236" display="https://www.ifbappliances.com/ifbdc-2483frh" xr:uid="{C88F18FF-BBAB-457F-BAF9-040AAD300ACD}"/>
    <hyperlink ref="B238" r:id="rId237" display="https://www.ifbappliances.com/ifbdc-2483fbh" xr:uid="{2BDF1BF3-46ED-4787-97B6-4098497DC1AD}"/>
    <hyperlink ref="B239" r:id="rId238" display="https://www.ifbappliances.com/ifbdc-2233frb" xr:uid="{0805D3DC-4F58-49ED-8762-7D39553166A2}"/>
    <hyperlink ref="B240" r:id="rId239" display="https://www.ifbappliances.com/ifbdc-2324igs" xr:uid="{4133CA26-380A-44DE-BE45-337527C4EE81}"/>
    <hyperlink ref="B241" r:id="rId240" display="https://www.ifbappliances.com/ifbdc-2324iks" xr:uid="{B9D03BCC-310B-4574-B5F1-F52315F2B248}"/>
    <hyperlink ref="B242" r:id="rId241" display="https://www.ifbappliances.com/ifbdc-2774igs" xr:uid="{B5B7AE0A-B202-46E3-A29E-3B08AD86FBBF}"/>
    <hyperlink ref="B243" r:id="rId242" display="https://www.ifbappliances.com/ifbdc-2324irv" xr:uid="{62E5980E-3B99-43F1-B059-C35620427EB7}"/>
    <hyperlink ref="B244" r:id="rId243" display="https://www.ifbappliances.com/ifbdc-2324ibv" xr:uid="{4D04193C-00D6-4708-AA11-A6A2EFF2BAD6}"/>
    <hyperlink ref="B245" r:id="rId244" display="https://www.ifbappliances.com/ifbdc-2774irv" xr:uid="{9634CF3D-F403-463E-8E7D-885DF46515B7}"/>
    <hyperlink ref="B246" r:id="rId245" display="https://www.ifbappliances.com/ifbdc-2133fbs" xr:uid="{32B07ED2-0729-4CD1-9B3E-DE119B056762}"/>
    <hyperlink ref="B247" r:id="rId246" display="https://www.ifbappliances.com/ifbff-2902fkg" xr:uid="{B25A316B-C8C8-45A5-8F60-0528EA79B16A}"/>
    <hyperlink ref="B248" r:id="rId247" display="https://www.ifbappliances.com/ifbff-3362ikg" xr:uid="{763BACE9-302E-43EE-9A2D-3E8340E84F04}"/>
    <hyperlink ref="B249" r:id="rId248" display="https://www.ifbappliances.com/ifbff-2902isg" xr:uid="{E86F7278-B25A-468D-8DC1-15041724ADA2}"/>
    <hyperlink ref="B250" r:id="rId249" display="https://www.ifbappliances.com/ifbff-3362irg" xr:uid="{8BAE2E7F-FF4E-4498-90F1-BEA0E9043485}"/>
    <hyperlink ref="B251" r:id="rId250" display="https://www.ifbappliances.com/ifbff-3363igsu" xr:uid="{F00F7D7A-EB0A-45D1-958A-3417FD8CCA5A}"/>
    <hyperlink ref="B252" r:id="rId251" display="https://www.ifbappliances.com/ifbff-2913ibsu" xr:uid="{EBB7D78B-4963-4A70-B910-906A9CF7DBC3}"/>
    <hyperlink ref="B253" r:id="rId252" display="https://www.ifbappliances.com/ifbff-3362isg" xr:uid="{521741AE-603C-4F40-87A9-35C4D2A3FFED}"/>
    <hyperlink ref="B254" r:id="rId253" display="https://www.ifbappliances.com/ifbff-3152isg" xr:uid="{36704B3E-2B81-4F9D-9FF1-BA5F6FAA8505}"/>
    <hyperlink ref="B255" r:id="rId254" display="https://www.ifbappliances.com/ifbff-3152irg" xr:uid="{CD0AA081-D4B6-4187-B5CF-A369316DB2D5}"/>
    <hyperlink ref="B256" r:id="rId255" display="https://www.ifbappliances.com/ifbff-2902irg" xr:uid="{6ECFC4AB-8830-4855-948F-0CE3D944D37E}"/>
    <hyperlink ref="B257" r:id="rId256" display="https://www.ifbappliances.com/ifbff-2902fsg" xr:uid="{A0F9EC1A-F1BD-46E9-9C73-BD584C7C0CF0}"/>
    <hyperlink ref="B258" r:id="rId257" display="https://www.ifbappliances.com/ifbff-3363imsu" xr:uid="{37292B77-367B-461D-A503-4ECFB59DDDAD}"/>
    <hyperlink ref="B259" r:id="rId258" display="https://www.ifbappliances.com/ifbff-3153igsu" xr:uid="{985C4FD8-C75D-41CE-AE4A-BA314072D064}"/>
    <hyperlink ref="B260" r:id="rId259" display="https://www.ifbappliances.com/ifbff-2911fbs" xr:uid="{B8F8B498-F5F3-4B4B-AA18-A6053341947D}"/>
    <hyperlink ref="B261" r:id="rId260" display="https://www.ifbappliances.com/ifbff-2902fbs" xr:uid="{1330EC56-1AFF-4342-9427-0E4D4D7813B4}"/>
    <hyperlink ref="B262" r:id="rId261" display="https://www.ifbappliances.com/ifbff-2902fks" xr:uid="{8DCAB775-551E-4BC0-9C8D-76971642CA6C}"/>
    <hyperlink ref="B263" r:id="rId262" display="https://www.ifbappliances.com/ifbff-2911fks" xr:uid="{B6B4B210-CA2E-45E5-9288-20BD6C489AD0}"/>
    <hyperlink ref="B264" r:id="rId263" display="https://www.ifbappliances.com/ifbff-2902fbb" xr:uid="{04EC2021-5976-4348-BA03-27F4259604D6}"/>
    <hyperlink ref="B265" r:id="rId264" display="https://www.ifbappliances.com/ifbff-3152fbs" xr:uid="{6FDEED42-3B74-454F-A559-F00A4D3E78C0}"/>
    <hyperlink ref="B266" r:id="rId265" display="https://www.ifbappliances.com/ifbff-2902frb" xr:uid="{90E6FF47-E22A-40E0-81C1-876A17CBA95F}"/>
    <hyperlink ref="B267" r:id="rId266" display="https://www.ifbappliances.com/ifbff-2902igs" xr:uid="{64D652BA-1A69-4AF1-9696-9E800F86D09F}"/>
    <hyperlink ref="B268" r:id="rId267" display="https://www.ifbappliances.com/ifbff-3152iks" xr:uid="{CB44A5E0-AB57-44DF-AF88-07060946CB69}"/>
    <hyperlink ref="B269" r:id="rId268" display="https://www.ifbappliances.com/ifbff-3362ibs" xr:uid="{2D8CFB08-0ACF-4C0C-B249-3D3FA871FF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WM</vt:lpstr>
      <vt:lpstr>Sheet2</vt:lpstr>
      <vt:lpstr>WM-TLM</vt:lpstr>
      <vt:lpstr>CD</vt:lpstr>
      <vt:lpstr>MW</vt:lpstr>
      <vt:lpstr>DW</vt:lpstr>
      <vt:lpstr>ST</vt:lpstr>
      <vt:lpstr>AC</vt:lpstr>
      <vt:lpstr>WD</vt:lpstr>
      <vt:lpstr>RF-Single_Door</vt:lpstr>
      <vt:lpstr>RF</vt:lpstr>
      <vt:lpstr>Single_List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L411</cp:lastModifiedBy>
  <dcterms:created xsi:type="dcterms:W3CDTF">2024-08-01T12:13:54Z</dcterms:created>
  <dcterms:modified xsi:type="dcterms:W3CDTF">2024-08-14T21:22:16Z</dcterms:modified>
</cp:coreProperties>
</file>